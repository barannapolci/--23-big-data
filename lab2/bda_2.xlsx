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ob in poland\"/>
    </mc:Choice>
  </mc:AlternateContent>
  <bookViews>
    <workbookView xWindow="0" yWindow="0" windowWidth="23040" windowHeight="8808"/>
  </bookViews>
  <sheets>
    <sheet name="yahoofinance" sheetId="1" r:id="rId1"/>
  </sheets>
  <calcPr calcId="0"/>
</workbook>
</file>

<file path=xl/calcChain.xml><?xml version="1.0" encoding="utf-8"?>
<calcChain xmlns="http://schemas.openxmlformats.org/spreadsheetml/2006/main">
  <c r="I6" i="1" l="1"/>
  <c r="I8" i="1" s="1"/>
  <c r="I4" i="1"/>
  <c r="I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3" i="1"/>
  <c r="H2" i="1"/>
  <c r="F6" i="1"/>
  <c r="G6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5" i="1"/>
  <c r="F5" i="1"/>
  <c r="G4" i="1"/>
  <c r="F4" i="1"/>
  <c r="E251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I2" i="1" s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3" i="1"/>
  <c r="D3" i="1"/>
  <c r="I7" i="1" l="1"/>
  <c r="G196" i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</calcChain>
</file>

<file path=xl/sharedStrings.xml><?xml version="1.0" encoding="utf-8"?>
<sst xmlns="http://schemas.openxmlformats.org/spreadsheetml/2006/main" count="16" uniqueCount="16">
  <si>
    <t>Date</t>
  </si>
  <si>
    <t>aapl_return</t>
  </si>
  <si>
    <t>googl_return</t>
  </si>
  <si>
    <t>AAPL_price</t>
  </si>
  <si>
    <t>GOOGL_price</t>
  </si>
  <si>
    <t>aapl_cumulative_return</t>
  </si>
  <si>
    <t>googl_cumulative_return</t>
  </si>
  <si>
    <t>aapl_stdev</t>
  </si>
  <si>
    <t>googl_stdev</t>
  </si>
  <si>
    <t>^GSPC</t>
  </si>
  <si>
    <t>S&amp;P_return</t>
  </si>
  <si>
    <t>cov(aapl, market)</t>
  </si>
  <si>
    <t>cov(googl, market)</t>
  </si>
  <si>
    <t>var_market</t>
  </si>
  <si>
    <t>beta_aapl</t>
  </si>
  <si>
    <t>beta_googl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</si>
</sst>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9" fontId="0" fillId="0" borderId="0" xfId="1" applyFont="1"/>
    <xf numFmtId="168" fontId="0" fillId="0" borderId="0" xfId="0" applyNumberFormat="1"/>
  </cellXfs>
  <cellStyles count="43">
    <cellStyle name="20% — акцент1" xfId="20" builtinId="30" customBuiltin="1"/>
    <cellStyle name="20% — акцент2" xfId="24" builtinId="34" customBuiltin="1"/>
    <cellStyle name="20% — акцент3" xfId="28" builtinId="38" customBuiltin="1"/>
    <cellStyle name="20% — акцент4" xfId="32" builtinId="42" customBuiltin="1"/>
    <cellStyle name="20% — акцент5" xfId="36" builtinId="46" customBuiltin="1"/>
    <cellStyle name="20% — акцент6" xfId="40" builtinId="50" customBuiltin="1"/>
    <cellStyle name="40% — акцент1" xfId="21" builtinId="31" customBuiltin="1"/>
    <cellStyle name="40% — акцент2" xfId="25" builtinId="35" customBuiltin="1"/>
    <cellStyle name="40% — акцент3" xfId="29" builtinId="39" customBuiltin="1"/>
    <cellStyle name="40% — акцент4" xfId="33" builtinId="43" customBuiltin="1"/>
    <cellStyle name="40% — акцент5" xfId="37" builtinId="47" customBuiltin="1"/>
    <cellStyle name="40% — акцент6" xfId="41" builtinId="51" customBuiltin="1"/>
    <cellStyle name="60% — акцент1" xfId="22" builtinId="32" customBuiltin="1"/>
    <cellStyle name="60% — акцент2" xfId="26" builtinId="36" customBuiltin="1"/>
    <cellStyle name="60% — акцент3" xfId="30" builtinId="40" customBuiltin="1"/>
    <cellStyle name="60% — акцент4" xfId="34" builtinId="44" customBuiltin="1"/>
    <cellStyle name="60% — акцент5" xfId="38" builtinId="48" customBuiltin="1"/>
    <cellStyle name="60% — акцент6" xfId="42" builtinId="52" customBuiltin="1"/>
    <cellStyle name="Акцент1" xfId="19" builtinId="29" customBuiltin="1"/>
    <cellStyle name="Акцент2" xfId="23" builtinId="33" customBuiltin="1"/>
    <cellStyle name="Акцент3" xfId="27" builtinId="37" customBuiltin="1"/>
    <cellStyle name="Акцент4" xfId="31" builtinId="41" customBuiltin="1"/>
    <cellStyle name="Акцент5" xfId="35" builtinId="45" customBuiltin="1"/>
    <cellStyle name="Акцент6" xfId="39" builtinId="49" customBuiltin="1"/>
    <cellStyle name="Ввод " xfId="10" builtinId="20" customBuiltin="1"/>
    <cellStyle name="Вывод" xfId="11" builtinId="21" customBuiltin="1"/>
    <cellStyle name="Вычисление" xfId="12" builtinId="22" customBuiltin="1"/>
    <cellStyle name="Заголовок 1" xfId="3" builtinId="16" customBuiltin="1"/>
    <cellStyle name="Заголовок 2" xfId="4" builtinId="17" customBuiltin="1"/>
    <cellStyle name="Заголовок 3" xfId="5" builtinId="18" customBuiltin="1"/>
    <cellStyle name="Заголовок 4" xfId="6" builtinId="19" customBuiltin="1"/>
    <cellStyle name="Итог" xfId="18" builtinId="25" customBuiltin="1"/>
    <cellStyle name="Контрольная ячейка" xfId="14" builtinId="23" customBuiltin="1"/>
    <cellStyle name="Название" xfId="2" builtinId="15" customBuiltin="1"/>
    <cellStyle name="Нейтральный" xfId="9" builtinId="28" customBuiltin="1"/>
    <cellStyle name="Обычный" xfId="0" builtinId="0"/>
    <cellStyle name="Плохой" xfId="8" builtinId="27" customBuiltin="1"/>
    <cellStyle name="Пояснение" xfId="17" builtinId="53" customBuiltin="1"/>
    <cellStyle name="Примечание" xfId="16" builtinId="10" customBuiltin="1"/>
    <cellStyle name="Процентный" xfId="1" builtinId="5"/>
    <cellStyle name="Связанная ячейка" xfId="13" builtinId="24" customBuiltin="1"/>
    <cellStyle name="Текст предупреждения" xfId="15" builtinId="11" customBuiltin="1"/>
    <cellStyle name="Хороший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Кумулятивна дохідність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yahoofinance!$F$1</c:f>
              <c:strCache>
                <c:ptCount val="1"/>
                <c:pt idx="0">
                  <c:v>aapl_cumulative_return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yahoofinance!$F$2:$F$251</c:f>
              <c:numCache>
                <c:formatCode>0%</c:formatCode>
                <c:ptCount val="250"/>
                <c:pt idx="2">
                  <c:v>-2.0092524930845346E-2</c:v>
                </c:pt>
                <c:pt idx="3">
                  <c:v>-2.4025028597585707E-2</c:v>
                </c:pt>
                <c:pt idx="4">
                  <c:v>-4.3091517810089908E-4</c:v>
                </c:pt>
                <c:pt idx="5">
                  <c:v>-2.6933644101065912E-3</c:v>
                </c:pt>
                <c:pt idx="6">
                  <c:v>2.9627999690429174E-3</c:v>
                </c:pt>
                <c:pt idx="7">
                  <c:v>-2.6927036239532409E-4</c:v>
                </c:pt>
                <c:pt idx="8">
                  <c:v>1.5083270207589816E-3</c:v>
                </c:pt>
                <c:pt idx="9">
                  <c:v>-1.0827394311177185E-2</c:v>
                </c:pt>
                <c:pt idx="10">
                  <c:v>-1.5944935367265378E-2</c:v>
                </c:pt>
                <c:pt idx="11">
                  <c:v>1.6106580182971175E-2</c:v>
                </c:pt>
                <c:pt idx="12">
                  <c:v>3.1889705537990531E-2</c:v>
                </c:pt>
                <c:pt idx="13">
                  <c:v>4.4440843159841981E-2</c:v>
                </c:pt>
                <c:pt idx="14">
                  <c:v>5.1389835671564743E-2</c:v>
                </c:pt>
                <c:pt idx="15">
                  <c:v>4.7726767563760708E-2</c:v>
                </c:pt>
                <c:pt idx="16">
                  <c:v>4.5949252778876737E-2</c:v>
                </c:pt>
                <c:pt idx="17">
                  <c:v>3.6522312146957114E-2</c:v>
                </c:pt>
                <c:pt idx="18">
                  <c:v>3.280547256494315E-2</c:v>
                </c:pt>
                <c:pt idx="19">
                  <c:v>1.2928198727472529E-2</c:v>
                </c:pt>
                <c:pt idx="20">
                  <c:v>-6.6795569527862142E-3</c:v>
                </c:pt>
                <c:pt idx="21">
                  <c:v>6.5720140043727948E-3</c:v>
                </c:pt>
                <c:pt idx="22">
                  <c:v>1.1312659151385684E-3</c:v>
                </c:pt>
                <c:pt idx="23">
                  <c:v>1.0989039126883204E-2</c:v>
                </c:pt>
                <c:pt idx="24">
                  <c:v>1.9715629021760162E-2</c:v>
                </c:pt>
                <c:pt idx="25">
                  <c:v>2.0308189015572076E-2</c:v>
                </c:pt>
                <c:pt idx="26">
                  <c:v>1.4436608346507063E-2</c:v>
                </c:pt>
                <c:pt idx="27">
                  <c:v>1.858973199421543E-2</c:v>
                </c:pt>
                <c:pt idx="28">
                  <c:v>9.4204979668013333E-3</c:v>
                </c:pt>
                <c:pt idx="29">
                  <c:v>-1.960139561340668E-3</c:v>
                </c:pt>
                <c:pt idx="30">
                  <c:v>-6.760503258049777E-3</c:v>
                </c:pt>
                <c:pt idx="31">
                  <c:v>-8.3245841115117125E-3</c:v>
                </c:pt>
                <c:pt idx="32">
                  <c:v>-1.6684850675954821E-2</c:v>
                </c:pt>
                <c:pt idx="33">
                  <c:v>-2.0730018383897431E-2</c:v>
                </c:pt>
                <c:pt idx="34">
                  <c:v>-1.6630748808663776E-2</c:v>
                </c:pt>
                <c:pt idx="35">
                  <c:v>-5.5739790998303729E-3</c:v>
                </c:pt>
                <c:pt idx="36">
                  <c:v>-1.5552015393675123E-2</c:v>
                </c:pt>
                <c:pt idx="37">
                  <c:v>-2.2887402615604291E-2</c:v>
                </c:pt>
                <c:pt idx="38">
                  <c:v>-1.4958794613700754E-2</c:v>
                </c:pt>
                <c:pt idx="39">
                  <c:v>-2.1485131774388488E-2</c:v>
                </c:pt>
                <c:pt idx="40">
                  <c:v>-2.5098888714607859E-2</c:v>
                </c:pt>
                <c:pt idx="41">
                  <c:v>-3.0977903228029957E-2</c:v>
                </c:pt>
                <c:pt idx="42">
                  <c:v>-5.5572942491533994E-2</c:v>
                </c:pt>
                <c:pt idx="43">
                  <c:v>-8.2433321926510872E-2</c:v>
                </c:pt>
                <c:pt idx="44">
                  <c:v>-8.782690640318902E-2</c:v>
                </c:pt>
                <c:pt idx="45">
                  <c:v>-8.8474146452184321E-2</c:v>
                </c:pt>
                <c:pt idx="46">
                  <c:v>-7.9143185010794426E-2</c:v>
                </c:pt>
                <c:pt idx="47">
                  <c:v>-6.8247977519396152E-2</c:v>
                </c:pt>
                <c:pt idx="48">
                  <c:v>-6.56590999216905E-2</c:v>
                </c:pt>
                <c:pt idx="49">
                  <c:v>-7.6985635582541234E-2</c:v>
                </c:pt>
                <c:pt idx="50">
                  <c:v>-6.6899560750654841E-2</c:v>
                </c:pt>
                <c:pt idx="51">
                  <c:v>-6.894915423913639E-2</c:v>
                </c:pt>
                <c:pt idx="52">
                  <c:v>-6.3016203054963693E-2</c:v>
                </c:pt>
                <c:pt idx="53">
                  <c:v>-5.0287066159810156E-2</c:v>
                </c:pt>
                <c:pt idx="54">
                  <c:v>-3.6317633632232726E-2</c:v>
                </c:pt>
                <c:pt idx="55">
                  <c:v>-7.5691320681096075E-2</c:v>
                </c:pt>
                <c:pt idx="56">
                  <c:v>-7.078308364289132E-2</c:v>
                </c:pt>
                <c:pt idx="57">
                  <c:v>-7.8495862363528124E-2</c:v>
                </c:pt>
                <c:pt idx="58">
                  <c:v>-8.4644642828967664E-2</c:v>
                </c:pt>
                <c:pt idx="59">
                  <c:v>-6.5227606555691153E-2</c:v>
                </c:pt>
                <c:pt idx="60">
                  <c:v>-7.5098017302851261E-2</c:v>
                </c:pt>
                <c:pt idx="61">
                  <c:v>-8.2918669364983599E-2</c:v>
                </c:pt>
                <c:pt idx="62">
                  <c:v>-8.9337215782446133E-2</c:v>
                </c:pt>
                <c:pt idx="63">
                  <c:v>-8.496826285346526E-2</c:v>
                </c:pt>
                <c:pt idx="64">
                  <c:v>-8.9444923927406439E-2</c:v>
                </c:pt>
                <c:pt idx="65">
                  <c:v>-8.5345819548713453E-2</c:v>
                </c:pt>
                <c:pt idx="66">
                  <c:v>-9.1440663343407946E-2</c:v>
                </c:pt>
                <c:pt idx="67">
                  <c:v>-8.4860472110239948E-2</c:v>
                </c:pt>
                <c:pt idx="68">
                  <c:v>-9.5054502881892322E-2</c:v>
                </c:pt>
                <c:pt idx="69">
                  <c:v>-5.5896562516030812E-2</c:v>
                </c:pt>
                <c:pt idx="70">
                  <c:v>-4.7752125232854659E-2</c:v>
                </c:pt>
                <c:pt idx="71">
                  <c:v>-6.8571680142157976E-2</c:v>
                </c:pt>
                <c:pt idx="72">
                  <c:v>-8.6424552963701995E-2</c:v>
                </c:pt>
                <c:pt idx="73">
                  <c:v>-9.3867813527132138E-2</c:v>
                </c:pt>
                <c:pt idx="74">
                  <c:v>-9.9045816517354446E-2</c:v>
                </c:pt>
                <c:pt idx="75">
                  <c:v>-0.11004873215371302</c:v>
                </c:pt>
                <c:pt idx="76">
                  <c:v>-0.10551813440902669</c:v>
                </c:pt>
                <c:pt idx="77">
                  <c:v>-9.9800929907850722E-2</c:v>
                </c:pt>
                <c:pt idx="78">
                  <c:v>-8.8366273110688009E-2</c:v>
                </c:pt>
                <c:pt idx="79">
                  <c:v>-8.3673782755479875E-2</c:v>
                </c:pt>
                <c:pt idx="80">
                  <c:v>-8.6856046329700676E-2</c:v>
                </c:pt>
                <c:pt idx="81">
                  <c:v>-6.4202809811453099E-2</c:v>
                </c:pt>
                <c:pt idx="82">
                  <c:v>-8.1300651840770954E-2</c:v>
                </c:pt>
                <c:pt idx="83">
                  <c:v>-8.6856046329700676E-2</c:v>
                </c:pt>
                <c:pt idx="84">
                  <c:v>-6.673775073840793E-2</c:v>
                </c:pt>
                <c:pt idx="85">
                  <c:v>-1.0913626905757035E-2</c:v>
                </c:pt>
                <c:pt idx="86">
                  <c:v>-1.9920968322654775E-2</c:v>
                </c:pt>
                <c:pt idx="87">
                  <c:v>-1.6199338040939759E-2</c:v>
                </c:pt>
                <c:pt idx="88">
                  <c:v>-1.4365491235454719E-2</c:v>
                </c:pt>
                <c:pt idx="89">
                  <c:v>-4.4950804882946116E-3</c:v>
                </c:pt>
                <c:pt idx="90">
                  <c:v>-1.1354371278071262E-2</c:v>
                </c:pt>
                <c:pt idx="91">
                  <c:v>6.0907964794332248E-3</c:v>
                </c:pt>
                <c:pt idx="92">
                  <c:v>1.2301856040959569E-2</c:v>
                </c:pt>
                <c:pt idx="93">
                  <c:v>2.4670121091542985E-2</c:v>
                </c:pt>
                <c:pt idx="94">
                  <c:v>2.5318187123247071E-2</c:v>
                </c:pt>
                <c:pt idx="95">
                  <c:v>2.5480244930304208E-2</c:v>
                </c:pt>
                <c:pt idx="96">
                  <c:v>3.1799343029877747E-2</c:v>
                </c:pt>
                <c:pt idx="97">
                  <c:v>3.887462829745636E-2</c:v>
                </c:pt>
                <c:pt idx="98">
                  <c:v>3.1043238460137346E-2</c:v>
                </c:pt>
                <c:pt idx="99">
                  <c:v>9.3313744327485626E-3</c:v>
                </c:pt>
                <c:pt idx="100">
                  <c:v>2.6074291692987472E-2</c:v>
                </c:pt>
                <c:pt idx="101">
                  <c:v>2.612839356027874E-2</c:v>
                </c:pt>
                <c:pt idx="102">
                  <c:v>2.7748641237801186E-2</c:v>
                </c:pt>
                <c:pt idx="103">
                  <c:v>3.3149576960566085E-2</c:v>
                </c:pt>
                <c:pt idx="104">
                  <c:v>3.83345182055288E-2</c:v>
                </c:pt>
                <c:pt idx="105">
                  <c:v>4.7948130929162724E-2</c:v>
                </c:pt>
                <c:pt idx="106">
                  <c:v>4.967649974299726E-2</c:v>
                </c:pt>
                <c:pt idx="107">
                  <c:v>5.7885941865192025E-2</c:v>
                </c:pt>
                <c:pt idx="108">
                  <c:v>5.0378585043716839E-2</c:v>
                </c:pt>
                <c:pt idx="109">
                  <c:v>6.3394998724269014E-2</c:v>
                </c:pt>
                <c:pt idx="110">
                  <c:v>4.3033286029303897E-2</c:v>
                </c:pt>
                <c:pt idx="111">
                  <c:v>0.1188087743482189</c:v>
                </c:pt>
                <c:pt idx="112">
                  <c:v>0.15078256492575126</c:v>
                </c:pt>
                <c:pt idx="113">
                  <c:v>0.15710166302532458</c:v>
                </c:pt>
                <c:pt idx="114">
                  <c:v>0.14764994291220734</c:v>
                </c:pt>
                <c:pt idx="115">
                  <c:v>0.17022595004737817</c:v>
                </c:pt>
                <c:pt idx="116">
                  <c:v>0.15737159417388291</c:v>
                </c:pt>
                <c:pt idx="117">
                  <c:v>0.13247325406047028</c:v>
                </c:pt>
                <c:pt idx="118">
                  <c:v>0.12064518170008998</c:v>
                </c:pt>
                <c:pt idx="119">
                  <c:v>0.12415569080196343</c:v>
                </c:pt>
                <c:pt idx="120">
                  <c:v>0.12917865683813412</c:v>
                </c:pt>
                <c:pt idx="121">
                  <c:v>0.15175466397330495</c:v>
                </c:pt>
                <c:pt idx="122">
                  <c:v>0.15634555845558462</c:v>
                </c:pt>
                <c:pt idx="123">
                  <c:v>0.13755007416912113</c:v>
                </c:pt>
                <c:pt idx="124">
                  <c:v>0.17065802160126942</c:v>
                </c:pt>
                <c:pt idx="125">
                  <c:v>0.1896694177672702</c:v>
                </c:pt>
                <c:pt idx="126">
                  <c:v>0.1965826452277919</c:v>
                </c:pt>
                <c:pt idx="127">
                  <c:v>0.22245316698702866</c:v>
                </c:pt>
                <c:pt idx="128">
                  <c:v>0.23044669722968059</c:v>
                </c:pt>
                <c:pt idx="129">
                  <c:v>0.23509144578444063</c:v>
                </c:pt>
                <c:pt idx="130">
                  <c:v>0.25831551895131</c:v>
                </c:pt>
                <c:pt idx="131">
                  <c:v>0.2290964632989867</c:v>
                </c:pt>
                <c:pt idx="132">
                  <c:v>0.24513721266023558</c:v>
                </c:pt>
                <c:pt idx="133">
                  <c:v>0.2659849335798421</c:v>
                </c:pt>
                <c:pt idx="134">
                  <c:v>0.26825341248560375</c:v>
                </c:pt>
                <c:pt idx="135">
                  <c:v>0.23617166596830019</c:v>
                </c:pt>
                <c:pt idx="136">
                  <c:v>0.21078706983543483</c:v>
                </c:pt>
                <c:pt idx="137">
                  <c:v>0.21148923773442485</c:v>
                </c:pt>
                <c:pt idx="138">
                  <c:v>0.20959897631007385</c:v>
                </c:pt>
                <c:pt idx="139">
                  <c:v>0.21526992577967285</c:v>
                </c:pt>
                <c:pt idx="140">
                  <c:v>0.18032565359392416</c:v>
                </c:pt>
                <c:pt idx="141">
                  <c:v>0.17465478672259538</c:v>
                </c:pt>
                <c:pt idx="142">
                  <c:v>0.17719319677692091</c:v>
                </c:pt>
                <c:pt idx="143">
                  <c:v>0.17870548851467194</c:v>
                </c:pt>
                <c:pt idx="144">
                  <c:v>0.18172998939190377</c:v>
                </c:pt>
                <c:pt idx="145">
                  <c:v>0.19944517089623659</c:v>
                </c:pt>
                <c:pt idx="146">
                  <c:v>0.17935355454637048</c:v>
                </c:pt>
                <c:pt idx="147">
                  <c:v>0.18745495813052337</c:v>
                </c:pt>
                <c:pt idx="148">
                  <c:v>0.13025887702199945</c:v>
                </c:pt>
                <c:pt idx="149">
                  <c:v>0.1192408459021046</c:v>
                </c:pt>
                <c:pt idx="150">
                  <c:v>0.1332294412284809</c:v>
                </c:pt>
                <c:pt idx="151">
                  <c:v>0.15207869698915411</c:v>
                </c:pt>
                <c:pt idx="152">
                  <c:v>0.16790361706913082</c:v>
                </c:pt>
                <c:pt idx="153">
                  <c:v>0.17623067912876422</c:v>
                </c:pt>
                <c:pt idx="154">
                  <c:v>0.19645362672899847</c:v>
                </c:pt>
                <c:pt idx="155">
                  <c:v>0.19888688918476016</c:v>
                </c:pt>
                <c:pt idx="156">
                  <c:v>0.21510852875877817</c:v>
                </c:pt>
                <c:pt idx="157">
                  <c:v>0.22230011239147007</c:v>
                </c:pt>
                <c:pt idx="158">
                  <c:v>0.22143497810443846</c:v>
                </c:pt>
                <c:pt idx="159">
                  <c:v>0.22478739411624704</c:v>
                </c:pt>
                <c:pt idx="160">
                  <c:v>0.22419260396913065</c:v>
                </c:pt>
                <c:pt idx="161">
                  <c:v>0.21408117146814876</c:v>
                </c:pt>
                <c:pt idx="162">
                  <c:v>0.22657176455759598</c:v>
                </c:pt>
                <c:pt idx="163">
                  <c:v>0.22841023686623596</c:v>
                </c:pt>
                <c:pt idx="164">
                  <c:v>0.23300633503956836</c:v>
                </c:pt>
                <c:pt idx="165">
                  <c:v>0.22467927297993495</c:v>
                </c:pt>
                <c:pt idx="166">
                  <c:v>0.24252305999170454</c:v>
                </c:pt>
                <c:pt idx="167">
                  <c:v>0.23825140782557863</c:v>
                </c:pt>
                <c:pt idx="168">
                  <c:v>0.20456444651601302</c:v>
                </c:pt>
                <c:pt idx="169">
                  <c:v>0.19418266987511568</c:v>
                </c:pt>
                <c:pt idx="170">
                  <c:v>0.20245563006745781</c:v>
                </c:pt>
                <c:pt idx="171">
                  <c:v>0.19402044687151254</c:v>
                </c:pt>
                <c:pt idx="172">
                  <c:v>0.19450703328404639</c:v>
                </c:pt>
                <c:pt idx="173">
                  <c:v>0.19018127925062922</c:v>
                </c:pt>
                <c:pt idx="174">
                  <c:v>0.20396965636889641</c:v>
                </c:pt>
                <c:pt idx="175">
                  <c:v>0.2045644465160128</c:v>
                </c:pt>
                <c:pt idx="176">
                  <c:v>0.20310452208186502</c:v>
                </c:pt>
                <c:pt idx="177">
                  <c:v>0.16968798751048486</c:v>
                </c:pt>
                <c:pt idx="178">
                  <c:v>0.17222928850427754</c:v>
                </c:pt>
                <c:pt idx="179">
                  <c:v>0.19331745298981384</c:v>
                </c:pt>
                <c:pt idx="180">
                  <c:v>0.23754841394387993</c:v>
                </c:pt>
                <c:pt idx="181">
                  <c:v>0.23392557119388568</c:v>
                </c:pt>
                <c:pt idx="182">
                  <c:v>0.22457115184362308</c:v>
                </c:pt>
                <c:pt idx="183">
                  <c:v>0.22943759415687048</c:v>
                </c:pt>
                <c:pt idx="184">
                  <c:v>0.22403038096552752</c:v>
                </c:pt>
                <c:pt idx="185">
                  <c:v>0.23024870917487572</c:v>
                </c:pt>
                <c:pt idx="186">
                  <c:v>0.2317086336090235</c:v>
                </c:pt>
                <c:pt idx="187">
                  <c:v>0.25988026059093938</c:v>
                </c:pt>
                <c:pt idx="188">
                  <c:v>0.22316532927676636</c:v>
                </c:pt>
                <c:pt idx="189">
                  <c:v>0.22624740114866526</c:v>
                </c:pt>
                <c:pt idx="190">
                  <c:v>0.22024531521193569</c:v>
                </c:pt>
                <c:pt idx="191">
                  <c:v>0.22635552228497202</c:v>
                </c:pt>
                <c:pt idx="192">
                  <c:v>0.19872466618115703</c:v>
                </c:pt>
                <c:pt idx="193">
                  <c:v>0.22078608609003125</c:v>
                </c:pt>
                <c:pt idx="194">
                  <c:v>0.24117125669386885</c:v>
                </c:pt>
                <c:pt idx="195">
                  <c:v>0.23846765009819726</c:v>
                </c:pt>
                <c:pt idx="196">
                  <c:v>0.2304109321784793</c:v>
                </c:pt>
                <c:pt idx="197">
                  <c:v>0.25068798164600481</c:v>
                </c:pt>
                <c:pt idx="198">
                  <c:v>0.26447635876426667</c:v>
                </c:pt>
                <c:pt idx="199">
                  <c:v>0.25328338450709387</c:v>
                </c:pt>
                <c:pt idx="200">
                  <c:v>0.25528407981933698</c:v>
                </c:pt>
                <c:pt idx="201">
                  <c:v>0.2706946043753502</c:v>
                </c:pt>
                <c:pt idx="202">
                  <c:v>0.27869730302604734</c:v>
                </c:pt>
                <c:pt idx="203">
                  <c:v>0.27534488701423876</c:v>
                </c:pt>
                <c:pt idx="204">
                  <c:v>0.24776805017944437</c:v>
                </c:pt>
                <c:pt idx="205">
                  <c:v>0.24674077548708007</c:v>
                </c:pt>
                <c:pt idx="206">
                  <c:v>0.25128277179312142</c:v>
                </c:pt>
                <c:pt idx="207">
                  <c:v>0.26204309630851075</c:v>
                </c:pt>
                <c:pt idx="208">
                  <c:v>0.26350302074265852</c:v>
                </c:pt>
                <c:pt idx="209">
                  <c:v>0.24419930929674138</c:v>
                </c:pt>
                <c:pt idx="210">
                  <c:v>0.22154309924075077</c:v>
                </c:pt>
                <c:pt idx="211">
                  <c:v>0.20532145966672699</c:v>
                </c:pt>
                <c:pt idx="212">
                  <c:v>0.20045493475521448</c:v>
                </c:pt>
                <c:pt idx="213">
                  <c:v>0.20824130853502276</c:v>
                </c:pt>
                <c:pt idx="214">
                  <c:v>0.2042941023760978</c:v>
                </c:pt>
                <c:pt idx="215">
                  <c:v>0.23003238430398709</c:v>
                </c:pt>
                <c:pt idx="216">
                  <c:v>0.2285708905026973</c:v>
                </c:pt>
                <c:pt idx="217">
                  <c:v>0.21379290350350066</c:v>
                </c:pt>
                <c:pt idx="218">
                  <c:v>0.21379290350350066</c:v>
                </c:pt>
                <c:pt idx="219">
                  <c:v>0.21861061283704508</c:v>
                </c:pt>
                <c:pt idx="220">
                  <c:v>0.23539144270352463</c:v>
                </c:pt>
                <c:pt idx="221">
                  <c:v>0.21796106003647497</c:v>
                </c:pt>
                <c:pt idx="222">
                  <c:v>0.23430882716980861</c:v>
                </c:pt>
                <c:pt idx="223">
                  <c:v>0.23571621910380713</c:v>
                </c:pt>
                <c:pt idx="224">
                  <c:v>0.23961370110379021</c:v>
                </c:pt>
                <c:pt idx="225">
                  <c:v>0.23701540730322312</c:v>
                </c:pt>
                <c:pt idx="226">
                  <c:v>0.24432312410448187</c:v>
                </c:pt>
                <c:pt idx="227">
                  <c:v>0.2605626049049683</c:v>
                </c:pt>
                <c:pt idx="228">
                  <c:v>0.27241743910504534</c:v>
                </c:pt>
                <c:pt idx="229">
                  <c:v>0.27171370183891352</c:v>
                </c:pt>
                <c:pt idx="230">
                  <c:v>0.28470533603826254</c:v>
                </c:pt>
                <c:pt idx="231">
                  <c:v>0.29693904850591846</c:v>
                </c:pt>
                <c:pt idx="232">
                  <c:v>0.31350330570669249</c:v>
                </c:pt>
                <c:pt idx="233">
                  <c:v>0.31545204670667859</c:v>
                </c:pt>
                <c:pt idx="234">
                  <c:v>0.31561443490682262</c:v>
                </c:pt>
                <c:pt idx="235">
                  <c:v>0.31453181937311192</c:v>
                </c:pt>
                <c:pt idx="236">
                  <c:v>0.33569729584000063</c:v>
                </c:pt>
                <c:pt idx="237">
                  <c:v>0.34121874243967665</c:v>
                </c:pt>
                <c:pt idx="238">
                  <c:v>0.33428990390600233</c:v>
                </c:pt>
                <c:pt idx="239">
                  <c:v>0.34224725610610163</c:v>
                </c:pt>
                <c:pt idx="240">
                  <c:v>0.3431674834396683</c:v>
                </c:pt>
                <c:pt idx="241">
                  <c:v>0.35891971704145265</c:v>
                </c:pt>
                <c:pt idx="242">
                  <c:v>0.37212784130824228</c:v>
                </c:pt>
                <c:pt idx="243">
                  <c:v>0.34273442070652771</c:v>
                </c:pt>
                <c:pt idx="244">
                  <c:v>0.35215326670791658</c:v>
                </c:pt>
                <c:pt idx="245">
                  <c:v>0.37759518604063258</c:v>
                </c:pt>
                <c:pt idx="246">
                  <c:v>0.38181744444089261</c:v>
                </c:pt>
                <c:pt idx="247">
                  <c:v>0.39767804697380549</c:v>
                </c:pt>
                <c:pt idx="248">
                  <c:v>0.40211671284323036</c:v>
                </c:pt>
                <c:pt idx="249">
                  <c:v>0.38354961277517874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yahoofinance!$G$1</c:f>
              <c:strCache>
                <c:ptCount val="1"/>
                <c:pt idx="0">
                  <c:v>googl_cumulative_return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yahoofinance!$G$2:$G$251</c:f>
              <c:numCache>
                <c:formatCode>0%</c:formatCode>
                <c:ptCount val="250"/>
                <c:pt idx="2">
                  <c:v>-1.2882600442768344E-2</c:v>
                </c:pt>
                <c:pt idx="3">
                  <c:v>-1.765948801661188E-2</c:v>
                </c:pt>
                <c:pt idx="4">
                  <c:v>4.8491521437383778E-3</c:v>
                </c:pt>
                <c:pt idx="5">
                  <c:v>2.0120140955806498E-2</c:v>
                </c:pt>
                <c:pt idx="6">
                  <c:v>2.9746069838159306E-2</c:v>
                </c:pt>
                <c:pt idx="7">
                  <c:v>2.8298561735551564E-2</c:v>
                </c:pt>
                <c:pt idx="8">
                  <c:v>3.2423848992756854E-2</c:v>
                </c:pt>
                <c:pt idx="9">
                  <c:v>3.1265842510669328E-2</c:v>
                </c:pt>
                <c:pt idx="10">
                  <c:v>2.3883662022596841E-2</c:v>
                </c:pt>
                <c:pt idx="11">
                  <c:v>3.8431007618590307E-2</c:v>
                </c:pt>
                <c:pt idx="12">
                  <c:v>5.9419542600734676E-2</c:v>
                </c:pt>
                <c:pt idx="13">
                  <c:v>5.6596901800651356E-2</c:v>
                </c:pt>
                <c:pt idx="14">
                  <c:v>6.4196319339348884E-2</c:v>
                </c:pt>
                <c:pt idx="15">
                  <c:v>7.6210414920549363E-2</c:v>
                </c:pt>
                <c:pt idx="16">
                  <c:v>9.9153196676446731E-2</c:v>
                </c:pt>
                <c:pt idx="17">
                  <c:v>0.10146920964062178</c:v>
                </c:pt>
                <c:pt idx="18">
                  <c:v>0.11102265228261299</c:v>
                </c:pt>
                <c:pt idx="19">
                  <c:v>9.6185915901328967E-2</c:v>
                </c:pt>
                <c:pt idx="20">
                  <c:v>1.3968342354945928E-2</c:v>
                </c:pt>
                <c:pt idx="21">
                  <c:v>2.1640135298782504E-2</c:v>
                </c:pt>
                <c:pt idx="22">
                  <c:v>3.0469713054240399E-2</c:v>
                </c:pt>
                <c:pt idx="23">
                  <c:v>3.9878404885967944E-2</c:v>
                </c:pt>
                <c:pt idx="24">
                  <c:v>4.2918171901447089E-2</c:v>
                </c:pt>
                <c:pt idx="25">
                  <c:v>5.3340008569776387E-2</c:v>
                </c:pt>
                <c:pt idx="26">
                  <c:v>5.6017898559603596E-2</c:v>
                </c:pt>
                <c:pt idx="27">
                  <c:v>7.8381787909690193E-2</c:v>
                </c:pt>
                <c:pt idx="28">
                  <c:v>6.7742714190743181E-2</c:v>
                </c:pt>
                <c:pt idx="29">
                  <c:v>5.0445103199790786E-2</c:v>
                </c:pt>
                <c:pt idx="30">
                  <c:v>5.6235024774999198E-2</c:v>
                </c:pt>
                <c:pt idx="31">
                  <c:v>3.3292353854324164E-2</c:v>
                </c:pt>
                <c:pt idx="32">
                  <c:v>1.7008109370432178E-2</c:v>
                </c:pt>
                <c:pt idx="33">
                  <c:v>2.1350522843025743E-2</c:v>
                </c:pt>
                <c:pt idx="34">
                  <c:v>3.1700094941452539E-2</c:v>
                </c:pt>
                <c:pt idx="35">
                  <c:v>4.2845796496315147E-2</c:v>
                </c:pt>
                <c:pt idx="36">
                  <c:v>4.1905027064852662E-2</c:v>
                </c:pt>
                <c:pt idx="37">
                  <c:v>-4.3424134726011143E-3</c:v>
                </c:pt>
                <c:pt idx="38">
                  <c:v>5.1386537642581498E-3</c:v>
                </c:pt>
                <c:pt idx="39">
                  <c:v>-1.2954975847900507E-2</c:v>
                </c:pt>
                <c:pt idx="40">
                  <c:v>2.0989975840088881E-3</c:v>
                </c:pt>
                <c:pt idx="41">
                  <c:v>-7.4545558932120892E-3</c:v>
                </c:pt>
                <c:pt idx="42">
                  <c:v>-3.4884501931973677E-2</c:v>
                </c:pt>
                <c:pt idx="43">
                  <c:v>-3.9806029480844218E-2</c:v>
                </c:pt>
                <c:pt idx="44">
                  <c:v>-4.8997705932412927E-2</c:v>
                </c:pt>
                <c:pt idx="45">
                  <c:v>-2.7429946038761921E-2</c:v>
                </c:pt>
                <c:pt idx="46">
                  <c:v>-1.9975390145550276E-2</c:v>
                </c:pt>
                <c:pt idx="47">
                  <c:v>-3.6186594212971324E-3</c:v>
                </c:pt>
                <c:pt idx="48">
                  <c:v>2.3883883692996655E-3</c:v>
                </c:pt>
                <c:pt idx="49">
                  <c:v>1.172459396067338E-2</c:v>
                </c:pt>
                <c:pt idx="50">
                  <c:v>3.5680742223631157E-2</c:v>
                </c:pt>
                <c:pt idx="51">
                  <c:v>2.1784664438580181E-2</c:v>
                </c:pt>
                <c:pt idx="52">
                  <c:v>6.8828345267699209E-2</c:v>
                </c:pt>
                <c:pt idx="53">
                  <c:v>6.4123833098987504E-2</c:v>
                </c:pt>
                <c:pt idx="54">
                  <c:v>7.6500027376299018E-2</c:v>
                </c:pt>
                <c:pt idx="55">
                  <c:v>6.8249452861888438E-2</c:v>
                </c:pt>
                <c:pt idx="56">
                  <c:v>9.1192123782556367E-2</c:v>
                </c:pt>
                <c:pt idx="57">
                  <c:v>8.6125845423422165E-2</c:v>
                </c:pt>
                <c:pt idx="58">
                  <c:v>9.0468258896022835E-2</c:v>
                </c:pt>
                <c:pt idx="59">
                  <c:v>9.1915656163401138E-2</c:v>
                </c:pt>
                <c:pt idx="60">
                  <c:v>9.2350019429414232E-2</c:v>
                </c:pt>
                <c:pt idx="61">
                  <c:v>0.12535298249844784</c:v>
                </c:pt>
                <c:pt idx="62">
                  <c:v>0.1186219589860884</c:v>
                </c:pt>
                <c:pt idx="63">
                  <c:v>0.12122736273555401</c:v>
                </c:pt>
                <c:pt idx="64">
                  <c:v>8.9455114059420859E-2</c:v>
                </c:pt>
                <c:pt idx="65">
                  <c:v>0.10371284719966489</c:v>
                </c:pt>
                <c:pt idx="66">
                  <c:v>0.12072095657009752</c:v>
                </c:pt>
                <c:pt idx="67">
                  <c:v>0.13338643079747037</c:v>
                </c:pt>
                <c:pt idx="68">
                  <c:v>0.13005727299670067</c:v>
                </c:pt>
                <c:pt idx="69">
                  <c:v>0.15372369796867225</c:v>
                </c:pt>
                <c:pt idx="70">
                  <c:v>0.14156474074198555</c:v>
                </c:pt>
                <c:pt idx="71">
                  <c:v>0.12079333197522923</c:v>
                </c:pt>
                <c:pt idx="72">
                  <c:v>0.11746384166877122</c:v>
                </c:pt>
                <c:pt idx="73">
                  <c:v>0.12520812085296185</c:v>
                </c:pt>
                <c:pt idx="74">
                  <c:v>0.12911639273000097</c:v>
                </c:pt>
                <c:pt idx="75">
                  <c:v>0.11522042578017944</c:v>
                </c:pt>
                <c:pt idx="76">
                  <c:v>0.13107041783329487</c:v>
                </c:pt>
                <c:pt idx="77">
                  <c:v>0.14540063721390029</c:v>
                </c:pt>
                <c:pt idx="78">
                  <c:v>0.15169729746025395</c:v>
                </c:pt>
                <c:pt idx="79">
                  <c:v>0.12904390648964714</c:v>
                </c:pt>
                <c:pt idx="80">
                  <c:v>0.24448145848522262</c:v>
                </c:pt>
                <c:pt idx="81">
                  <c:v>0.20250416685046724</c:v>
                </c:pt>
                <c:pt idx="82">
                  <c:v>0.17811398782718446</c:v>
                </c:pt>
                <c:pt idx="83">
                  <c:v>0.18593042074604815</c:v>
                </c:pt>
                <c:pt idx="84">
                  <c:v>0.20590581089159854</c:v>
                </c:pt>
                <c:pt idx="85">
                  <c:v>0.21039308600968498</c:v>
                </c:pt>
                <c:pt idx="86">
                  <c:v>0.21661726001567727</c:v>
                </c:pt>
                <c:pt idx="87">
                  <c:v>0.23941518012608864</c:v>
                </c:pt>
                <c:pt idx="88">
                  <c:v>0.22588120103714826</c:v>
                </c:pt>
                <c:pt idx="89">
                  <c:v>0.23007897453471493</c:v>
                </c:pt>
                <c:pt idx="90">
                  <c:v>0.22059779646262578</c:v>
                </c:pt>
                <c:pt idx="91">
                  <c:v>0.22414419131402052</c:v>
                </c:pt>
                <c:pt idx="92">
                  <c:v>0.2328291290944442</c:v>
                </c:pt>
                <c:pt idx="93">
                  <c:v>0.24853437033729597</c:v>
                </c:pt>
                <c:pt idx="94">
                  <c:v>0.26062095215885783</c:v>
                </c:pt>
                <c:pt idx="95">
                  <c:v>0.27422741748815938</c:v>
                </c:pt>
                <c:pt idx="96">
                  <c:v>0.28045159149414434</c:v>
                </c:pt>
                <c:pt idx="97">
                  <c:v>0.28718261500651132</c:v>
                </c:pt>
                <c:pt idx="98">
                  <c:v>0.27654343045233465</c:v>
                </c:pt>
                <c:pt idx="99">
                  <c:v>0.25606141247086889</c:v>
                </c:pt>
                <c:pt idx="100">
                  <c:v>0.26648335997442785</c:v>
                </c:pt>
                <c:pt idx="101">
                  <c:v>0.27668807042736154</c:v>
                </c:pt>
                <c:pt idx="102">
                  <c:v>0.27306930017083508</c:v>
                </c:pt>
                <c:pt idx="103">
                  <c:v>0.24563946496730993</c:v>
                </c:pt>
                <c:pt idx="104">
                  <c:v>0.24846199493216403</c:v>
                </c:pt>
                <c:pt idx="105">
                  <c:v>0.25331114707590996</c:v>
                </c:pt>
                <c:pt idx="106">
                  <c:v>0.25779831135876718</c:v>
                </c:pt>
                <c:pt idx="107">
                  <c:v>0.26952312698990677</c:v>
                </c:pt>
                <c:pt idx="108">
                  <c:v>0.2790765696318982</c:v>
                </c:pt>
                <c:pt idx="109">
                  <c:v>0.26264746350251311</c:v>
                </c:pt>
                <c:pt idx="110">
                  <c:v>0.26808171482494081</c:v>
                </c:pt>
                <c:pt idx="111">
                  <c:v>0.27974745527853395</c:v>
                </c:pt>
                <c:pt idx="112">
                  <c:v>0.28822502034380504</c:v>
                </c:pt>
                <c:pt idx="113">
                  <c:v>0.26916867592465721</c:v>
                </c:pt>
                <c:pt idx="114">
                  <c:v>0.28097927802374345</c:v>
                </c:pt>
                <c:pt idx="115">
                  <c:v>0.28423993965243377</c:v>
                </c:pt>
                <c:pt idx="116">
                  <c:v>0.26866138307736454</c:v>
                </c:pt>
                <c:pt idx="117">
                  <c:v>0.27742878226884415</c:v>
                </c:pt>
                <c:pt idx="118">
                  <c:v>0.30155727931430887</c:v>
                </c:pt>
                <c:pt idx="119">
                  <c:v>0.29858645181183419</c:v>
                </c:pt>
                <c:pt idx="120">
                  <c:v>0.33343858985666874</c:v>
                </c:pt>
                <c:pt idx="121">
                  <c:v>0.33235185042741122</c:v>
                </c:pt>
                <c:pt idx="122">
                  <c:v>0.34343781179335076</c:v>
                </c:pt>
                <c:pt idx="123">
                  <c:v>0.31981649675994883</c:v>
                </c:pt>
                <c:pt idx="124">
                  <c:v>0.3259030134103913</c:v>
                </c:pt>
                <c:pt idx="125">
                  <c:v>0.3422060998833778</c:v>
                </c:pt>
                <c:pt idx="126">
                  <c:v>0.346408528460596</c:v>
                </c:pt>
                <c:pt idx="127">
                  <c:v>0.38104342945481307</c:v>
                </c:pt>
                <c:pt idx="128">
                  <c:v>0.36966741229219902</c:v>
                </c:pt>
                <c:pt idx="129">
                  <c:v>0.36930509192562933</c:v>
                </c:pt>
                <c:pt idx="130">
                  <c:v>0.38524574719680915</c:v>
                </c:pt>
                <c:pt idx="131">
                  <c:v>0.3445971482981991</c:v>
                </c:pt>
                <c:pt idx="132">
                  <c:v>0.3409742771381683</c:v>
                </c:pt>
                <c:pt idx="133">
                  <c:v>0.35155305649204505</c:v>
                </c:pt>
                <c:pt idx="134">
                  <c:v>0.33264157371839054</c:v>
                </c:pt>
                <c:pt idx="135">
                  <c:v>0.31162887665612304</c:v>
                </c:pt>
                <c:pt idx="136">
                  <c:v>0.28750049044588777</c:v>
                </c:pt>
                <c:pt idx="137">
                  <c:v>0.28728303172481118</c:v>
                </c:pt>
                <c:pt idx="138">
                  <c:v>0.31633848724541158</c:v>
                </c:pt>
                <c:pt idx="139">
                  <c:v>0.31720798962404406</c:v>
                </c:pt>
                <c:pt idx="140">
                  <c:v>0.25083697223865609</c:v>
                </c:pt>
                <c:pt idx="141">
                  <c:v>0.21207201807234544</c:v>
                </c:pt>
                <c:pt idx="142">
                  <c:v>0.21004317918886439</c:v>
                </c:pt>
                <c:pt idx="143">
                  <c:v>0.22837499371009495</c:v>
                </c:pt>
                <c:pt idx="144">
                  <c:v>0.23388173127289136</c:v>
                </c:pt>
                <c:pt idx="145">
                  <c:v>0.24293885375535007</c:v>
                </c:pt>
                <c:pt idx="146">
                  <c:v>0.23728725454706789</c:v>
                </c:pt>
                <c:pt idx="147">
                  <c:v>0.2075797553689116</c:v>
                </c:pt>
                <c:pt idx="148">
                  <c:v>0.1538885099555467</c:v>
                </c:pt>
                <c:pt idx="149">
                  <c:v>0.14693260176170098</c:v>
                </c:pt>
                <c:pt idx="150">
                  <c:v>0.15164232318621873</c:v>
                </c:pt>
                <c:pt idx="151">
                  <c:v>0.17403170463918172</c:v>
                </c:pt>
                <c:pt idx="152">
                  <c:v>0.18591479297862934</c:v>
                </c:pt>
                <c:pt idx="153">
                  <c:v>0.17591557104194022</c:v>
                </c:pt>
                <c:pt idx="154">
                  <c:v>0.18946517789829875</c:v>
                </c:pt>
                <c:pt idx="155">
                  <c:v>0.16200364381901888</c:v>
                </c:pt>
                <c:pt idx="156">
                  <c:v>0.16874242579747634</c:v>
                </c:pt>
                <c:pt idx="157">
                  <c:v>0.18077037578240973</c:v>
                </c:pt>
                <c:pt idx="158">
                  <c:v>0.20765213077404332</c:v>
                </c:pt>
                <c:pt idx="159">
                  <c:v>0.21134737733919873</c:v>
                </c:pt>
                <c:pt idx="160">
                  <c:v>0.20171058660431607</c:v>
                </c:pt>
                <c:pt idx="161">
                  <c:v>0.1868567815976232</c:v>
                </c:pt>
                <c:pt idx="162">
                  <c:v>0.20004406808741226</c:v>
                </c:pt>
                <c:pt idx="163">
                  <c:v>0.20395677337365159</c:v>
                </c:pt>
                <c:pt idx="164">
                  <c:v>0.19323291070382287</c:v>
                </c:pt>
                <c:pt idx="165">
                  <c:v>0.17997324880890941</c:v>
                </c:pt>
                <c:pt idx="166">
                  <c:v>0.17222032447678481</c:v>
                </c:pt>
                <c:pt idx="167">
                  <c:v>0.18381357869001658</c:v>
                </c:pt>
                <c:pt idx="168">
                  <c:v>0.14019393061847274</c:v>
                </c:pt>
                <c:pt idx="169">
                  <c:v>0.1336003427911967</c:v>
                </c:pt>
                <c:pt idx="170">
                  <c:v>0.1393245390750697</c:v>
                </c:pt>
                <c:pt idx="171">
                  <c:v>9.353119047455194E-2</c:v>
                </c:pt>
                <c:pt idx="172">
                  <c:v>7.8947934264062214E-2</c:v>
                </c:pt>
                <c:pt idx="173">
                  <c:v>7.8585170556574768E-2</c:v>
                </c:pt>
                <c:pt idx="174">
                  <c:v>9.6723577601614874E-2</c:v>
                </c:pt>
                <c:pt idx="175">
                  <c:v>0.12233516085848772</c:v>
                </c:pt>
                <c:pt idx="176">
                  <c:v>0.1424325805921689</c:v>
                </c:pt>
                <c:pt idx="177">
                  <c:v>0.14678574508207043</c:v>
                </c:pt>
                <c:pt idx="178">
                  <c:v>0.15592754568018119</c:v>
                </c:pt>
                <c:pt idx="179">
                  <c:v>0.15948269651473912</c:v>
                </c:pt>
                <c:pt idx="180">
                  <c:v>0.17638772912135692</c:v>
                </c:pt>
                <c:pt idx="181">
                  <c:v>0.18690798747384174</c:v>
                </c:pt>
                <c:pt idx="182">
                  <c:v>0.17428363311676387</c:v>
                </c:pt>
                <c:pt idx="183">
                  <c:v>0.17747590940859737</c:v>
                </c:pt>
                <c:pt idx="184">
                  <c:v>0.17167169008873118</c:v>
                </c:pt>
                <c:pt idx="185">
                  <c:v>0.18066829653566763</c:v>
                </c:pt>
                <c:pt idx="186">
                  <c:v>0.18951993050187443</c:v>
                </c:pt>
                <c:pt idx="187">
                  <c:v>0.20330517305701301</c:v>
                </c:pt>
                <c:pt idx="188">
                  <c:v>0.21157636292419668</c:v>
                </c:pt>
                <c:pt idx="189">
                  <c:v>0.20337777013260361</c:v>
                </c:pt>
                <c:pt idx="190">
                  <c:v>0.20337777013260361</c:v>
                </c:pt>
                <c:pt idx="191">
                  <c:v>0.21208420994763633</c:v>
                </c:pt>
                <c:pt idx="192">
                  <c:v>0.18248222590834939</c:v>
                </c:pt>
                <c:pt idx="193">
                  <c:v>0.19263983138857621</c:v>
                </c:pt>
                <c:pt idx="194">
                  <c:v>0.17435623019235469</c:v>
                </c:pt>
                <c:pt idx="195">
                  <c:v>0.17595236833827155</c:v>
                </c:pt>
                <c:pt idx="196">
                  <c:v>0.18436864152139987</c:v>
                </c:pt>
                <c:pt idx="197">
                  <c:v>0.19684791256252576</c:v>
                </c:pt>
                <c:pt idx="198">
                  <c:v>0.20047566047267429</c:v>
                </c:pt>
                <c:pt idx="199">
                  <c:v>0.19829896739249042</c:v>
                </c:pt>
                <c:pt idx="200">
                  <c:v>0.18211935136563251</c:v>
                </c:pt>
                <c:pt idx="201">
                  <c:v>0.18567461303541988</c:v>
                </c:pt>
                <c:pt idx="202">
                  <c:v>0.19039065206803851</c:v>
                </c:pt>
                <c:pt idx="203">
                  <c:v>0.19815388407654577</c:v>
                </c:pt>
                <c:pt idx="204">
                  <c:v>0.18103117107838473</c:v>
                </c:pt>
                <c:pt idx="205">
                  <c:v>0.18059581029530647</c:v>
                </c:pt>
                <c:pt idx="206">
                  <c:v>0.19909709188307079</c:v>
                </c:pt>
                <c:pt idx="207">
                  <c:v>0.20961735023555561</c:v>
                </c:pt>
                <c:pt idx="208">
                  <c:v>0.23109322772361085</c:v>
                </c:pt>
                <c:pt idx="209">
                  <c:v>0.26577401450301119</c:v>
                </c:pt>
                <c:pt idx="210">
                  <c:v>0.24146851359538046</c:v>
                </c:pt>
                <c:pt idx="211">
                  <c:v>0.24277437427416371</c:v>
                </c:pt>
                <c:pt idx="212">
                  <c:v>0.22790095143177735</c:v>
                </c:pt>
                <c:pt idx="213">
                  <c:v>0.23152869934192588</c:v>
                </c:pt>
                <c:pt idx="214">
                  <c:v>0.28064754818062698</c:v>
                </c:pt>
                <c:pt idx="215">
                  <c:v>0.3114104204179744</c:v>
                </c:pt>
                <c:pt idx="216">
                  <c:v>0.29399754078791696</c:v>
                </c:pt>
                <c:pt idx="217">
                  <c:v>0.30850831075804508</c:v>
                </c:pt>
                <c:pt idx="218">
                  <c:v>0.31772248676128045</c:v>
                </c:pt>
                <c:pt idx="219">
                  <c:v>0.29784285825437173</c:v>
                </c:pt>
                <c:pt idx="220">
                  <c:v>0.27390001021900634</c:v>
                </c:pt>
                <c:pt idx="221">
                  <c:v>0.25148092492442609</c:v>
                </c:pt>
                <c:pt idx="222">
                  <c:v>0.27186851129000389</c:v>
                </c:pt>
                <c:pt idx="223">
                  <c:v>0.29232869473117984</c:v>
                </c:pt>
                <c:pt idx="224">
                  <c:v>0.27680211987893566</c:v>
                </c:pt>
                <c:pt idx="225">
                  <c:v>0.21621980488122472</c:v>
                </c:pt>
                <c:pt idx="226">
                  <c:v>0.19539674689733189</c:v>
                </c:pt>
                <c:pt idx="227">
                  <c:v>0.21636477736194748</c:v>
                </c:pt>
                <c:pt idx="228">
                  <c:v>0.22703022986561394</c:v>
                </c:pt>
                <c:pt idx="229">
                  <c:v>0.2278283543561872</c:v>
                </c:pt>
                <c:pt idx="230">
                  <c:v>0.22579685542719208</c:v>
                </c:pt>
                <c:pt idx="231">
                  <c:v>0.24422553993935847</c:v>
                </c:pt>
                <c:pt idx="232">
                  <c:v>0.24313713798165892</c:v>
                </c:pt>
                <c:pt idx="233">
                  <c:v>0.26512097332838325</c:v>
                </c:pt>
                <c:pt idx="234">
                  <c:v>0.25256921604689619</c:v>
                </c:pt>
                <c:pt idx="235">
                  <c:v>0.26758794387570073</c:v>
                </c:pt>
                <c:pt idx="236">
                  <c:v>0.27383461743335946</c:v>
                </c:pt>
                <c:pt idx="237">
                  <c:v>0.34501887634800488</c:v>
                </c:pt>
                <c:pt idx="238">
                  <c:v>0.41932647204147933</c:v>
                </c:pt>
                <c:pt idx="239">
                  <c:v>0.39433944530514142</c:v>
                </c:pt>
                <c:pt idx="240">
                  <c:v>0.37879513681611199</c:v>
                </c:pt>
                <c:pt idx="241">
                  <c:v>0.42847880198643207</c:v>
                </c:pt>
                <c:pt idx="242">
                  <c:v>0.4194717770278904</c:v>
                </c:pt>
                <c:pt idx="243">
                  <c:v>0.36848058865033817</c:v>
                </c:pt>
                <c:pt idx="244">
                  <c:v>0.36927959982274694</c:v>
                </c:pt>
                <c:pt idx="245">
                  <c:v>0.39034438944307626</c:v>
                </c:pt>
                <c:pt idx="246">
                  <c:v>0.41373350466981873</c:v>
                </c:pt>
                <c:pt idx="247">
                  <c:v>0.42448374612436668</c:v>
                </c:pt>
                <c:pt idx="248">
                  <c:v>0.420779300235123</c:v>
                </c:pt>
                <c:pt idx="249">
                  <c:v>0.40015031473879725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2348784"/>
        <c:axId val="412349568"/>
      </c:lineChart>
      <c:catAx>
        <c:axId val="412348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12349568"/>
        <c:crosses val="autoZero"/>
        <c:auto val="1"/>
        <c:lblAlgn val="ctr"/>
        <c:lblOffset val="100"/>
        <c:noMultiLvlLbl val="0"/>
      </c:catAx>
      <c:valAx>
        <c:axId val="4123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1234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Щоденна дохідність за 2024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yahoofinance!$D$1</c:f>
              <c:strCache>
                <c:ptCount val="1"/>
                <c:pt idx="0">
                  <c:v>aapl_return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yahoofinance!$A$2:$A$251</c:f>
              <c:numCache>
                <c:formatCode>m/d/yyyy</c:formatCode>
                <c:ptCount val="250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</c:numCache>
            </c:numRef>
          </c:cat>
          <c:val>
            <c:numRef>
              <c:f>yahoofinance!$D$2:$D$251</c:f>
              <c:numCache>
                <c:formatCode>0%</c:formatCode>
                <c:ptCount val="250"/>
                <c:pt idx="1">
                  <c:v>-7.4876158347840782E-3</c:v>
                </c:pt>
                <c:pt idx="2">
                  <c:v>-1.2700001830871943E-2</c:v>
                </c:pt>
                <c:pt idx="3">
                  <c:v>-4.0131377367672583E-3</c:v>
                </c:pt>
                <c:pt idx="4">
                  <c:v>2.4174916479242858E-2</c:v>
                </c:pt>
                <c:pt idx="5">
                  <c:v>-2.2634245760100313E-3</c:v>
                </c:pt>
                <c:pt idx="6">
                  <c:v>5.6714396328105821E-3</c:v>
                </c:pt>
                <c:pt idx="7">
                  <c:v>-3.2225226414559494E-3</c:v>
                </c:pt>
                <c:pt idx="8">
                  <c:v>1.7780761663679368E-3</c:v>
                </c:pt>
                <c:pt idx="9">
                  <c:v>-1.2317143052251955E-2</c:v>
                </c:pt>
                <c:pt idx="10">
                  <c:v>-5.1735571998827723E-3</c:v>
                </c:pt>
                <c:pt idx="11">
                  <c:v>3.2570855739865179E-2</c:v>
                </c:pt>
                <c:pt idx="12">
                  <c:v>1.5532942766867341E-2</c:v>
                </c:pt>
                <c:pt idx="13">
                  <c:v>1.2163255001470974E-2</c:v>
                </c:pt>
                <c:pt idx="14">
                  <c:v>6.6533136435944495E-3</c:v>
                </c:pt>
                <c:pt idx="15">
                  <c:v>-3.4840246533907049E-3</c:v>
                </c:pt>
                <c:pt idx="16">
                  <c:v>-1.6965442135425945E-3</c:v>
                </c:pt>
                <c:pt idx="17">
                  <c:v>-9.0128088020274832E-3</c:v>
                </c:pt>
                <c:pt idx="18">
                  <c:v>-3.5858751311540482E-3</c:v>
                </c:pt>
                <c:pt idx="19">
                  <c:v>-1.9245902897963907E-2</c:v>
                </c:pt>
                <c:pt idx="20">
                  <c:v>-1.9357498097981374E-2</c:v>
                </c:pt>
                <c:pt idx="21">
                  <c:v>1.3340680794313498E-2</c:v>
                </c:pt>
                <c:pt idx="22">
                  <c:v>-5.4052248756546462E-3</c:v>
                </c:pt>
                <c:pt idx="23">
                  <c:v>9.8466340502647576E-3</c:v>
                </c:pt>
                <c:pt idx="24">
                  <c:v>8.6317354166505211E-3</c:v>
                </c:pt>
                <c:pt idx="25">
                  <c:v>5.8110317910919917E-4</c:v>
                </c:pt>
                <c:pt idx="26">
                  <c:v>-5.7547128723234309E-3</c:v>
                </c:pt>
                <c:pt idx="27">
                  <c:v>4.0940198860506261E-3</c:v>
                </c:pt>
                <c:pt idx="28">
                  <c:v>-9.0018912810582163E-3</c:v>
                </c:pt>
                <c:pt idx="29">
                  <c:v>-1.1274426813270733E-2</c:v>
                </c:pt>
                <c:pt idx="30">
                  <c:v>-4.8097915594265128E-3</c:v>
                </c:pt>
                <c:pt idx="31">
                  <c:v>-1.5747267991179648E-3</c:v>
                </c:pt>
                <c:pt idx="32">
                  <c:v>-8.430446525643398E-3</c:v>
                </c:pt>
                <c:pt idx="33">
                  <c:v>-4.1138059458590837E-3</c:v>
                </c:pt>
                <c:pt idx="34">
                  <c:v>4.1860463939358272E-3</c:v>
                </c:pt>
                <c:pt idx="35">
                  <c:v>1.1243761888464876E-2</c:v>
                </c:pt>
                <c:pt idx="36">
                  <c:v>-1.0033965407313494E-2</c:v>
                </c:pt>
                <c:pt idx="37">
                  <c:v>-7.451269479577971E-3</c:v>
                </c:pt>
                <c:pt idx="38">
                  <c:v>8.114323797612899E-3</c:v>
                </c:pt>
                <c:pt idx="39">
                  <c:v>-6.6254458442968067E-3</c:v>
                </c:pt>
                <c:pt idx="40">
                  <c:v>-3.6931037611849238E-3</c:v>
                </c:pt>
                <c:pt idx="41">
                  <c:v>-6.0303701015077538E-3</c:v>
                </c:pt>
                <c:pt idx="42">
                  <c:v>-2.5381298677744968E-2</c:v>
                </c:pt>
                <c:pt idx="43">
                  <c:v>-2.844092534349707E-2</c:v>
                </c:pt>
                <c:pt idx="44">
                  <c:v>-5.8781390013011858E-3</c:v>
                </c:pt>
                <c:pt idx="45">
                  <c:v>-7.0955836511599202E-4</c:v>
                </c:pt>
                <c:pt idx="46">
                  <c:v>1.0236639372402045E-2</c:v>
                </c:pt>
                <c:pt idx="47">
                  <c:v>1.1831597827210549E-2</c:v>
                </c:pt>
                <c:pt idx="48">
                  <c:v>2.7785049404167594E-3</c:v>
                </c:pt>
                <c:pt idx="49">
                  <c:v>-1.2122487263376169E-2</c:v>
                </c:pt>
                <c:pt idx="50">
                  <c:v>1.0927321633019238E-2</c:v>
                </c:pt>
                <c:pt idx="51">
                  <c:v>-2.1965411249087463E-3</c:v>
                </c:pt>
                <c:pt idx="52">
                  <c:v>6.3723170557072883E-3</c:v>
                </c:pt>
                <c:pt idx="53">
                  <c:v>1.358522627248826E-2</c:v>
                </c:pt>
                <c:pt idx="54">
                  <c:v>1.4709110542584281E-2</c:v>
                </c:pt>
                <c:pt idx="55">
                  <c:v>-4.0857536075156631E-2</c:v>
                </c:pt>
                <c:pt idx="56">
                  <c:v>5.3101708855762819E-3</c:v>
                </c:pt>
                <c:pt idx="57">
                  <c:v>-8.3002995155037063E-3</c:v>
                </c:pt>
                <c:pt idx="58">
                  <c:v>-6.6725478642020164E-3</c:v>
                </c:pt>
                <c:pt idx="59">
                  <c:v>2.1212566377812214E-2</c:v>
                </c:pt>
                <c:pt idx="60">
                  <c:v>-1.055915944499719E-2</c:v>
                </c:pt>
                <c:pt idx="61">
                  <c:v>-8.4556549866248165E-3</c:v>
                </c:pt>
                <c:pt idx="62">
                  <c:v>-6.9988846169380947E-3</c:v>
                </c:pt>
                <c:pt idx="63">
                  <c:v>4.7975529523089921E-3</c:v>
                </c:pt>
                <c:pt idx="64">
                  <c:v>-4.892356070513304E-3</c:v>
                </c:pt>
                <c:pt idx="65">
                  <c:v>4.5017643483722392E-3</c:v>
                </c:pt>
                <c:pt idx="66">
                  <c:v>-6.6635499240678131E-3</c:v>
                </c:pt>
                <c:pt idx="67">
                  <c:v>7.242445229149741E-3</c:v>
                </c:pt>
                <c:pt idx="68">
                  <c:v>-1.1139318607687021E-2</c:v>
                </c:pt>
                <c:pt idx="69">
                  <c:v>4.3271048356573916E-2</c:v>
                </c:pt>
                <c:pt idx="70">
                  <c:v>8.6266366160905328E-3</c:v>
                </c:pt>
                <c:pt idx="71">
                  <c:v>-2.1863587686551056E-2</c:v>
                </c:pt>
                <c:pt idx="72">
                  <c:v>-1.9167199923949885E-2</c:v>
                </c:pt>
                <c:pt idx="73">
                  <c:v>-8.1473955846521617E-3</c:v>
                </c:pt>
                <c:pt idx="74">
                  <c:v>-5.7144013506216229E-3</c:v>
                </c:pt>
                <c:pt idx="75">
                  <c:v>-1.2212514063508428E-2</c:v>
                </c:pt>
                <c:pt idx="76">
                  <c:v>5.0908380136931441E-3</c:v>
                </c:pt>
                <c:pt idx="77">
                  <c:v>6.391638244559239E-3</c:v>
                </c:pt>
                <c:pt idx="78">
                  <c:v>1.270236459585794E-2</c:v>
                </c:pt>
                <c:pt idx="79">
                  <c:v>5.147341763253932E-3</c:v>
                </c:pt>
                <c:pt idx="80">
                  <c:v>-3.47285007711573E-3</c:v>
                </c:pt>
                <c:pt idx="81">
                  <c:v>2.4807957636027611E-2</c:v>
                </c:pt>
                <c:pt idx="82">
                  <c:v>-1.8270884128080089E-2</c:v>
                </c:pt>
                <c:pt idx="83">
                  <c:v>-6.0470212589798233E-3</c:v>
                </c:pt>
                <c:pt idx="84">
                  <c:v>2.2031899253594167E-2</c:v>
                </c:pt>
                <c:pt idx="85">
                  <c:v>5.9816116934783947E-2</c:v>
                </c:pt>
                <c:pt idx="86">
                  <c:v>-9.1067288579856909E-3</c:v>
                </c:pt>
                <c:pt idx="87">
                  <c:v>3.7972756904569582E-3</c:v>
                </c:pt>
                <c:pt idx="88">
                  <c:v>1.8640430692873355E-3</c:v>
                </c:pt>
                <c:pt idx="89">
                  <c:v>1.0014270664622238E-2</c:v>
                </c:pt>
                <c:pt idx="90">
                  <c:v>-6.8902630768927775E-3</c:v>
                </c:pt>
                <c:pt idx="91">
                  <c:v>1.7645521560699873E-2</c:v>
                </c:pt>
                <c:pt idx="92">
                  <c:v>6.1734582835470952E-3</c:v>
                </c:pt>
                <c:pt idx="93">
                  <c:v>1.2217961447739345E-2</c:v>
                </c:pt>
                <c:pt idx="94">
                  <c:v>6.3246309067133133E-4</c:v>
                </c:pt>
                <c:pt idx="95">
                  <c:v>1.5805611281693999E-4</c:v>
                </c:pt>
                <c:pt idx="96">
                  <c:v>6.162086623134222E-3</c:v>
                </c:pt>
                <c:pt idx="97">
                  <c:v>6.857229862932579E-3</c:v>
                </c:pt>
                <c:pt idx="98">
                  <c:v>-7.5383396841189887E-3</c:v>
                </c:pt>
                <c:pt idx="99">
                  <c:v>-2.1058150829654232E-2</c:v>
                </c:pt>
                <c:pt idx="100">
                  <c:v>1.6588127233881478E-2</c:v>
                </c:pt>
                <c:pt idx="101">
                  <c:v>5.2727046890632678E-5</c:v>
                </c:pt>
                <c:pt idx="102">
                  <c:v>1.5789911746821872E-3</c:v>
                </c:pt>
                <c:pt idx="103">
                  <c:v>5.2551134645726361E-3</c:v>
                </c:pt>
                <c:pt idx="104">
                  <c:v>5.0185775231272878E-3</c:v>
                </c:pt>
                <c:pt idx="105">
                  <c:v>9.2586854766691928E-3</c:v>
                </c:pt>
                <c:pt idx="106">
                  <c:v>1.6492885123065015E-3</c:v>
                </c:pt>
                <c:pt idx="107">
                  <c:v>7.8209258987933516E-3</c:v>
                </c:pt>
                <c:pt idx="108">
                  <c:v>-7.0965654465913186E-3</c:v>
                </c:pt>
                <c:pt idx="109">
                  <c:v>1.239211639107296E-2</c:v>
                </c:pt>
                <c:pt idx="110">
                  <c:v>-1.914783567667E-2</c:v>
                </c:pt>
                <c:pt idx="111">
                  <c:v>7.2649156392105896E-2</c:v>
                </c:pt>
                <c:pt idx="112">
                  <c:v>2.8578423150246834E-2</c:v>
                </c:pt>
                <c:pt idx="113">
                  <c:v>5.4911312459631212E-3</c:v>
                </c:pt>
                <c:pt idx="114">
                  <c:v>-8.1684439795939312E-3</c:v>
                </c:pt>
                <c:pt idx="115">
                  <c:v>1.9671509831546086E-2</c:v>
                </c:pt>
                <c:pt idx="116">
                  <c:v>-1.0984507626903062E-2</c:v>
                </c:pt>
                <c:pt idx="117">
                  <c:v>-2.1512831521655618E-2</c:v>
                </c:pt>
                <c:pt idx="118">
                  <c:v>-1.044446066869209E-2</c:v>
                </c:pt>
                <c:pt idx="119">
                  <c:v>3.1325785888338675E-3</c:v>
                </c:pt>
                <c:pt idx="120">
                  <c:v>4.4682120788690494E-3</c:v>
                </c:pt>
                <c:pt idx="121">
                  <c:v>1.9993299553134447E-2</c:v>
                </c:pt>
                <c:pt idx="122">
                  <c:v>3.9860003400742361E-3</c:v>
                </c:pt>
                <c:pt idx="123">
                  <c:v>-1.6254210645792355E-2</c:v>
                </c:pt>
                <c:pt idx="124">
                  <c:v>2.9104606631343843E-2</c:v>
                </c:pt>
                <c:pt idx="125">
                  <c:v>1.6239923030635595E-2</c:v>
                </c:pt>
                <c:pt idx="126">
                  <c:v>5.8110491513652107E-3</c:v>
                </c:pt>
                <c:pt idx="127">
                  <c:v>2.1620338438313125E-2</c:v>
                </c:pt>
                <c:pt idx="128">
                  <c:v>6.5389255462060536E-3</c:v>
                </c:pt>
                <c:pt idx="129">
                  <c:v>3.7748474316015024E-3</c:v>
                </c:pt>
                <c:pt idx="130">
                  <c:v>1.8803525233809015E-2</c:v>
                </c:pt>
                <c:pt idx="131">
                  <c:v>-2.322077031734826E-2</c:v>
                </c:pt>
                <c:pt idx="132">
                  <c:v>1.3050846569189867E-2</c:v>
                </c:pt>
                <c:pt idx="133">
                  <c:v>1.6743312068447036E-2</c:v>
                </c:pt>
                <c:pt idx="134">
                  <c:v>1.7918688015876594E-3</c:v>
                </c:pt>
                <c:pt idx="135">
                  <c:v>-2.529600646169583E-2</c:v>
                </c:pt>
                <c:pt idx="136">
                  <c:v>-2.0534847086129737E-2</c:v>
                </c:pt>
                <c:pt idx="137">
                  <c:v>5.7992682320717748E-4</c:v>
                </c:pt>
                <c:pt idx="138">
                  <c:v>-1.5602791716795572E-3</c:v>
                </c:pt>
                <c:pt idx="139">
                  <c:v>4.6882889128250227E-3</c:v>
                </c:pt>
                <c:pt idx="140">
                  <c:v>-2.875432975380332E-2</c:v>
                </c:pt>
                <c:pt idx="141">
                  <c:v>-4.8044934498049363E-3</c:v>
                </c:pt>
                <c:pt idx="142">
                  <c:v>2.1609838762994826E-3</c:v>
                </c:pt>
                <c:pt idx="143">
                  <c:v>1.2846589174075884E-3</c:v>
                </c:pt>
                <c:pt idx="144">
                  <c:v>2.5659512971667464E-3</c:v>
                </c:pt>
                <c:pt idx="145">
                  <c:v>1.4990887650611961E-2</c:v>
                </c:pt>
                <c:pt idx="146">
                  <c:v>-1.6750758465143956E-2</c:v>
                </c:pt>
                <c:pt idx="147">
                  <c:v>6.8693595342315117E-3</c:v>
                </c:pt>
                <c:pt idx="148">
                  <c:v>-4.8166947905603941E-2</c:v>
                </c:pt>
                <c:pt idx="149">
                  <c:v>-9.7482367481377397E-3</c:v>
                </c:pt>
                <c:pt idx="150">
                  <c:v>1.2498288797798018E-2</c:v>
                </c:pt>
                <c:pt idx="151">
                  <c:v>1.6633221018542921E-2</c:v>
                </c:pt>
                <c:pt idx="152">
                  <c:v>1.3735971441303008E-2</c:v>
                </c:pt>
                <c:pt idx="153">
                  <c:v>7.1299223137353263E-3</c:v>
                </c:pt>
                <c:pt idx="154">
                  <c:v>1.7193011506223765E-2</c:v>
                </c:pt>
                <c:pt idx="155">
                  <c:v>2.0337290149841092E-3</c:v>
                </c:pt>
                <c:pt idx="156">
                  <c:v>1.3530583844359789E-2</c:v>
                </c:pt>
                <c:pt idx="157">
                  <c:v>5.9184702127290656E-3</c:v>
                </c:pt>
                <c:pt idx="158">
                  <c:v>-7.0779203753723596E-4</c:v>
                </c:pt>
                <c:pt idx="159">
                  <c:v>2.7446536834987434E-3</c:v>
                </c:pt>
                <c:pt idx="160">
                  <c:v>-4.8562726067691298E-4</c:v>
                </c:pt>
                <c:pt idx="161">
                  <c:v>-8.2596745546397177E-3</c:v>
                </c:pt>
                <c:pt idx="162">
                  <c:v>1.0288103780031976E-2</c:v>
                </c:pt>
                <c:pt idx="163">
                  <c:v>1.4988705608294239E-3</c:v>
                </c:pt>
                <c:pt idx="164">
                  <c:v>3.7415010355639211E-3</c:v>
                </c:pt>
                <c:pt idx="165">
                  <c:v>-6.7534625110957647E-3</c:v>
                </c:pt>
                <c:pt idx="166">
                  <c:v>1.4570171477101379E-2</c:v>
                </c:pt>
                <c:pt idx="167">
                  <c:v>-3.4378856245569356E-3</c:v>
                </c:pt>
                <c:pt idx="168">
                  <c:v>-2.7205267925938581E-2</c:v>
                </c:pt>
                <c:pt idx="169">
                  <c:v>-8.6186975474203953E-3</c:v>
                </c:pt>
                <c:pt idx="170">
                  <c:v>6.9277175100919131E-3</c:v>
                </c:pt>
                <c:pt idx="171">
                  <c:v>-7.0149641991130718E-3</c:v>
                </c:pt>
                <c:pt idx="172">
                  <c:v>4.0751933001548224E-4</c:v>
                </c:pt>
                <c:pt idx="173">
                  <c:v>-3.6213717566185855E-3</c:v>
                </c:pt>
                <c:pt idx="174">
                  <c:v>1.1585106704878445E-2</c:v>
                </c:pt>
                <c:pt idx="175">
                  <c:v>4.9402420066813058E-4</c:v>
                </c:pt>
                <c:pt idx="176">
                  <c:v>-1.211993628377761E-3</c:v>
                </c:pt>
                <c:pt idx="177">
                  <c:v>-2.7775254733109822E-2</c:v>
                </c:pt>
                <c:pt idx="178">
                  <c:v>2.1726315230452542E-3</c:v>
                </c:pt>
                <c:pt idx="179">
                  <c:v>1.7989794908165102E-2</c:v>
                </c:pt>
                <c:pt idx="180">
                  <c:v>3.7065544330426858E-2</c:v>
                </c:pt>
                <c:pt idx="181">
                  <c:v>-2.9274351687371691E-3</c:v>
                </c:pt>
                <c:pt idx="182">
                  <c:v>-7.5810239844625871E-3</c:v>
                </c:pt>
                <c:pt idx="183">
                  <c:v>3.9739971874406255E-3</c:v>
                </c:pt>
                <c:pt idx="184">
                  <c:v>-4.398119284005797E-3</c:v>
                </c:pt>
                <c:pt idx="185">
                  <c:v>5.0802074082860749E-3</c:v>
                </c:pt>
                <c:pt idx="186">
                  <c:v>1.1866904823878421E-3</c:v>
                </c:pt>
                <c:pt idx="187">
                  <c:v>2.2871989538118642E-2</c:v>
                </c:pt>
                <c:pt idx="188">
                  <c:v>-2.9141603740146071E-2</c:v>
                </c:pt>
                <c:pt idx="189">
                  <c:v>2.5197508449010808E-3</c:v>
                </c:pt>
                <c:pt idx="190">
                  <c:v>-4.8946778040933614E-3</c:v>
                </c:pt>
                <c:pt idx="191">
                  <c:v>5.0073595832449413E-3</c:v>
                </c:pt>
                <c:pt idx="192">
                  <c:v>-2.2530869394490671E-2</c:v>
                </c:pt>
                <c:pt idx="193">
                  <c:v>1.8404076041211859E-2</c:v>
                </c:pt>
                <c:pt idx="194">
                  <c:v>1.6698396906805968E-2</c:v>
                </c:pt>
                <c:pt idx="195">
                  <c:v>-2.1782703886272792E-3</c:v>
                </c:pt>
                <c:pt idx="196">
                  <c:v>-6.5053923040130357E-3</c:v>
                </c:pt>
                <c:pt idx="197">
                  <c:v>1.6479900281464843E-2</c:v>
                </c:pt>
                <c:pt idx="198">
                  <c:v>1.1024633897988911E-2</c:v>
                </c:pt>
                <c:pt idx="199">
                  <c:v>-8.8518651848196184E-3</c:v>
                </c:pt>
                <c:pt idx="200">
                  <c:v>1.596363070775153E-3</c:v>
                </c:pt>
                <c:pt idx="201">
                  <c:v>1.2276523540576623E-2</c:v>
                </c:pt>
                <c:pt idx="202">
                  <c:v>6.2978929973744879E-3</c:v>
                </c:pt>
                <c:pt idx="203">
                  <c:v>-2.6217432412464214E-3</c:v>
                </c:pt>
                <c:pt idx="204">
                  <c:v>-2.1623042610344867E-2</c:v>
                </c:pt>
                <c:pt idx="205">
                  <c:v>-8.2328978708556821E-4</c:v>
                </c:pt>
                <c:pt idx="206">
                  <c:v>3.6430959790072492E-3</c:v>
                </c:pt>
                <c:pt idx="207">
                  <c:v>8.5994347224724876E-3</c:v>
                </c:pt>
                <c:pt idx="208">
                  <c:v>1.1567944378587658E-3</c:v>
                </c:pt>
                <c:pt idx="209">
                  <c:v>-1.5277930585849253E-2</c:v>
                </c:pt>
                <c:pt idx="210">
                  <c:v>-1.8209470047685916E-2</c:v>
                </c:pt>
                <c:pt idx="211">
                  <c:v>-1.3279629334492005E-2</c:v>
                </c:pt>
                <c:pt idx="212">
                  <c:v>-4.0375327863639843E-3</c:v>
                </c:pt>
                <c:pt idx="213">
                  <c:v>6.4861858237068581E-3</c:v>
                </c:pt>
                <c:pt idx="214">
                  <c:v>-3.2669021751217109E-3</c:v>
                </c:pt>
                <c:pt idx="215">
                  <c:v>2.1372089987908405E-2</c:v>
                </c:pt>
                <c:pt idx="216">
                  <c:v>-1.1881750594043838E-3</c:v>
                </c:pt>
                <c:pt idx="217">
                  <c:v>-1.2028599337194024E-2</c:v>
                </c:pt>
                <c:pt idx="218">
                  <c:v>0</c:v>
                </c:pt>
                <c:pt idx="219">
                  <c:v>3.9691361843017248E-3</c:v>
                </c:pt>
                <c:pt idx="220">
                  <c:v>1.3770460957509778E-2</c:v>
                </c:pt>
                <c:pt idx="221">
                  <c:v>-1.4109198157391423E-2</c:v>
                </c:pt>
                <c:pt idx="222">
                  <c:v>1.3422241210933272E-2</c:v>
                </c:pt>
                <c:pt idx="223">
                  <c:v>1.1402267431122048E-3</c:v>
                </c:pt>
                <c:pt idx="224">
                  <c:v>3.1540267415197665E-3</c:v>
                </c:pt>
                <c:pt idx="225">
                  <c:v>-2.0960512119650998E-3</c:v>
                </c:pt>
                <c:pt idx="226">
                  <c:v>5.9075390315388443E-3</c:v>
                </c:pt>
                <c:pt idx="227">
                  <c:v>1.3050855108212911E-2</c:v>
                </c:pt>
                <c:pt idx="228">
                  <c:v>9.4043993959116445E-3</c:v>
                </c:pt>
                <c:pt idx="229">
                  <c:v>-5.5307106339785861E-4</c:v>
                </c:pt>
                <c:pt idx="230">
                  <c:v>1.0215848253080084E-2</c:v>
                </c:pt>
                <c:pt idx="231">
                  <c:v>9.5225824354259192E-3</c:v>
                </c:pt>
                <c:pt idx="232">
                  <c:v>1.277180852859372E-2</c:v>
                </c:pt>
                <c:pt idx="233">
                  <c:v>1.4836209330570949E-3</c:v>
                </c:pt>
                <c:pt idx="234">
                  <c:v>1.2344668933428338E-4</c:v>
                </c:pt>
                <c:pt idx="235">
                  <c:v>-8.2289727520912237E-4</c:v>
                </c:pt>
                <c:pt idx="236">
                  <c:v>1.6101151873967101E-2</c:v>
                </c:pt>
                <c:pt idx="237">
                  <c:v>4.1337559167577975E-3</c:v>
                </c:pt>
                <c:pt idx="238">
                  <c:v>-5.1660764306580287E-3</c:v>
                </c:pt>
                <c:pt idx="239">
                  <c:v>5.96373559959118E-3</c:v>
                </c:pt>
                <c:pt idx="240">
                  <c:v>6.8558704767718304E-4</c:v>
                </c:pt>
                <c:pt idx="241">
                  <c:v>1.1727676403723741E-2</c:v>
                </c:pt>
                <c:pt idx="242">
                  <c:v>9.7195765880455642E-3</c:v>
                </c:pt>
                <c:pt idx="243">
                  <c:v>-2.1421779893110893E-2</c:v>
                </c:pt>
                <c:pt idx="244">
                  <c:v>7.0146753193627287E-3</c:v>
                </c:pt>
                <c:pt idx="245">
                  <c:v>1.8815854651343944E-2</c:v>
                </c:pt>
                <c:pt idx="246">
                  <c:v>3.0649485734595139E-3</c:v>
                </c:pt>
                <c:pt idx="247">
                  <c:v>1.1478073747527739E-2</c:v>
                </c:pt>
                <c:pt idx="248">
                  <c:v>3.1757427105871816E-3</c:v>
                </c:pt>
                <c:pt idx="249">
                  <c:v>-1.3242192962953148E-2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yahoofinance!$E$1</c:f>
              <c:strCache>
                <c:ptCount val="1"/>
                <c:pt idx="0">
                  <c:v>googl_return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yahoofinance!$A$2:$A$251</c:f>
              <c:numCache>
                <c:formatCode>m/d/yyyy</c:formatCode>
                <c:ptCount val="250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</c:numCache>
            </c:numRef>
          </c:cat>
          <c:val>
            <c:numRef>
              <c:f>yahoofinance!$E$2:$E$251</c:f>
              <c:numCache>
                <c:formatCode>0%</c:formatCode>
                <c:ptCount val="250"/>
                <c:pt idx="1">
                  <c:v>5.4281553847859154E-3</c:v>
                </c:pt>
                <c:pt idx="2">
                  <c:v>-1.8211898810956417E-2</c:v>
                </c:pt>
                <c:pt idx="3">
                  <c:v>-4.8392294330807939E-3</c:v>
                </c:pt>
                <c:pt idx="4">
                  <c:v>2.2913276899172441E-2</c:v>
                </c:pt>
                <c:pt idx="5">
                  <c:v>1.5197294817325568E-2</c:v>
                </c:pt>
                <c:pt idx="6">
                  <c:v>9.4360737484642243E-3</c:v>
                </c:pt>
                <c:pt idx="7">
                  <c:v>-1.4056942240480153E-3</c:v>
                </c:pt>
                <c:pt idx="8">
                  <c:v>4.0117602131453101E-3</c:v>
                </c:pt>
                <c:pt idx="9">
                  <c:v>-1.1216386401935452E-3</c:v>
                </c:pt>
                <c:pt idx="10">
                  <c:v>-7.1583680790785476E-3</c:v>
                </c:pt>
                <c:pt idx="11">
                  <c:v>1.4208006373747972E-2</c:v>
                </c:pt>
                <c:pt idx="12">
                  <c:v>2.0211776062308617E-2</c:v>
                </c:pt>
                <c:pt idx="13">
                  <c:v>-2.6643276686723061E-3</c:v>
                </c:pt>
                <c:pt idx="14">
                  <c:v>7.1923526614043887E-3</c:v>
                </c:pt>
                <c:pt idx="15">
                  <c:v>1.1289360208141641E-2</c:v>
                </c:pt>
                <c:pt idx="16">
                  <c:v>2.1318119057220919E-2</c:v>
                </c:pt>
                <c:pt idx="17">
                  <c:v>2.1070884124052558E-3</c:v>
                </c:pt>
                <c:pt idx="18">
                  <c:v>8.6733633208941896E-3</c:v>
                </c:pt>
                <c:pt idx="19">
                  <c:v>-1.3354125904455505E-2</c:v>
                </c:pt>
                <c:pt idx="20">
                  <c:v>-7.5003311348677992E-2</c:v>
                </c:pt>
                <c:pt idx="21">
                  <c:v>7.5661069713663931E-3</c:v>
                </c:pt>
                <c:pt idx="22">
                  <c:v>8.6425517659167728E-3</c:v>
                </c:pt>
                <c:pt idx="23">
                  <c:v>9.130488468060749E-3</c:v>
                </c:pt>
                <c:pt idx="24">
                  <c:v>2.9231946746817172E-3</c:v>
                </c:pt>
                <c:pt idx="25">
                  <c:v>9.9929572128638622E-3</c:v>
                </c:pt>
                <c:pt idx="26">
                  <c:v>2.5422845121616522E-3</c:v>
                </c:pt>
                <c:pt idx="27">
                  <c:v>2.1177566574004825E-2</c:v>
                </c:pt>
                <c:pt idx="28">
                  <c:v>-9.8657765164688049E-3</c:v>
                </c:pt>
                <c:pt idx="29">
                  <c:v>-1.6200167663108278E-2</c:v>
                </c:pt>
                <c:pt idx="30">
                  <c:v>5.5118744973645661E-3</c:v>
                </c:pt>
                <c:pt idx="31">
                  <c:v>-2.1721179834537696E-2</c:v>
                </c:pt>
                <c:pt idx="32">
                  <c:v>-1.5759571260882232E-2</c:v>
                </c:pt>
                <c:pt idx="33">
                  <c:v>4.2697923768588719E-3</c:v>
                </c:pt>
                <c:pt idx="34">
                  <c:v>1.0133222499967731E-2</c:v>
                </c:pt>
                <c:pt idx="35">
                  <c:v>1.0803237888133754E-2</c:v>
                </c:pt>
                <c:pt idx="36">
                  <c:v>-9.0211748910840051E-4</c:v>
                </c:pt>
                <c:pt idx="37">
                  <c:v>-4.4387385928770562E-2</c:v>
                </c:pt>
                <c:pt idx="38">
                  <c:v>9.5224175109505094E-3</c:v>
                </c:pt>
                <c:pt idx="39">
                  <c:v>-1.8001128047755222E-2</c:v>
                </c:pt>
                <c:pt idx="40">
                  <c:v>1.525155698428371E-2</c:v>
                </c:pt>
                <c:pt idx="41">
                  <c:v>-9.5335425943483543E-3</c:v>
                </c:pt>
                <c:pt idx="42">
                  <c:v>-2.7635959846096902E-2</c:v>
                </c:pt>
                <c:pt idx="43">
                  <c:v>-5.0994182133874411E-3</c:v>
                </c:pt>
                <c:pt idx="44">
                  <c:v>-9.5727287754150403E-3</c:v>
                </c:pt>
                <c:pt idx="45">
                  <c:v>2.2678977777647935E-2</c:v>
                </c:pt>
                <c:pt idx="46">
                  <c:v>7.6648009702227071E-3</c:v>
                </c:pt>
                <c:pt idx="47">
                  <c:v>1.6690122431397336E-2</c:v>
                </c:pt>
                <c:pt idx="48">
                  <c:v>6.0288641968222478E-3</c:v>
                </c:pt>
                <c:pt idx="49">
                  <c:v>9.313960237071317E-3</c:v>
                </c:pt>
                <c:pt idx="50">
                  <c:v>2.3678527146577366E-2</c:v>
                </c:pt>
                <c:pt idx="51">
                  <c:v>-1.3417337233881388E-2</c:v>
                </c:pt>
                <c:pt idx="52">
                  <c:v>4.6040699637009297E-2</c:v>
                </c:pt>
                <c:pt idx="53">
                  <c:v>-4.4015600723364967E-3</c:v>
                </c:pt>
                <c:pt idx="54">
                  <c:v>1.1630407939712262E-2</c:v>
                </c:pt>
                <c:pt idx="55">
                  <c:v>-7.6642585272563846E-3</c:v>
                </c:pt>
                <c:pt idx="56">
                  <c:v>2.1476885252974753E-2</c:v>
                </c:pt>
                <c:pt idx="57">
                  <c:v>-4.6428839144955214E-3</c:v>
                </c:pt>
                <c:pt idx="58">
                  <c:v>3.9980758131281657E-3</c:v>
                </c:pt>
                <c:pt idx="59">
                  <c:v>1.3273171920140658E-3</c:v>
                </c:pt>
                <c:pt idx="60">
                  <c:v>3.9779928381955543E-4</c:v>
                </c:pt>
                <c:pt idx="61">
                  <c:v>3.0212809522603967E-2</c:v>
                </c:pt>
                <c:pt idx="62">
                  <c:v>-5.981255319033818E-3</c:v>
                </c:pt>
                <c:pt idx="63">
                  <c:v>2.3291190813268248E-3</c:v>
                </c:pt>
                <c:pt idx="64">
                  <c:v>-2.8337025773805258E-2</c:v>
                </c:pt>
                <c:pt idx="65">
                  <c:v>1.3087031265673899E-2</c:v>
                </c:pt>
                <c:pt idx="66">
                  <c:v>1.5409904318487877E-2</c:v>
                </c:pt>
                <c:pt idx="67">
                  <c:v>1.1301184432327194E-2</c:v>
                </c:pt>
                <c:pt idx="68">
                  <c:v>-2.9373545600216433E-3</c:v>
                </c:pt>
                <c:pt idx="69">
                  <c:v>2.0942677453163583E-2</c:v>
                </c:pt>
                <c:pt idx="70">
                  <c:v>-1.0538881404702494E-2</c:v>
                </c:pt>
                <c:pt idx="71">
                  <c:v>-1.819555915265525E-2</c:v>
                </c:pt>
                <c:pt idx="72">
                  <c:v>-2.9706549918442349E-3</c:v>
                </c:pt>
                <c:pt idx="73">
                  <c:v>6.9302279818070911E-3</c:v>
                </c:pt>
                <c:pt idx="74">
                  <c:v>3.4733768843371315E-3</c:v>
                </c:pt>
                <c:pt idx="75">
                  <c:v>-1.2306939337071832E-2</c:v>
                </c:pt>
                <c:pt idx="76">
                  <c:v>1.4212429836036433E-2</c:v>
                </c:pt>
                <c:pt idx="77">
                  <c:v>1.2669608500641916E-2</c:v>
                </c:pt>
                <c:pt idx="78">
                  <c:v>5.4973430621356734E-3</c:v>
                </c:pt>
                <c:pt idx="79">
                  <c:v>-1.9669570312062401E-2</c:v>
                </c:pt>
                <c:pt idx="80">
                  <c:v>0.1022436340447439</c:v>
                </c:pt>
                <c:pt idx="81">
                  <c:v>-3.3730748938477495E-2</c:v>
                </c:pt>
                <c:pt idx="82">
                  <c:v>-2.0282822875503315E-2</c:v>
                </c:pt>
                <c:pt idx="83">
                  <c:v>6.6347000372006804E-3</c:v>
                </c:pt>
                <c:pt idx="84">
                  <c:v>1.6843644278037972E-2</c:v>
                </c:pt>
                <c:pt idx="85">
                  <c:v>3.7210825899982591E-3</c:v>
                </c:pt>
                <c:pt idx="86">
                  <c:v>5.1422749170779714E-3</c:v>
                </c:pt>
                <c:pt idx="87">
                  <c:v>1.8738777477246726E-2</c:v>
                </c:pt>
                <c:pt idx="88">
                  <c:v>-1.0919649287790323E-2</c:v>
                </c:pt>
                <c:pt idx="89">
                  <c:v>3.4242906196906286E-3</c:v>
                </c:pt>
                <c:pt idx="90">
                  <c:v>-7.7077799624006849E-3</c:v>
                </c:pt>
                <c:pt idx="91">
                  <c:v>2.9054573600513223E-3</c:v>
                </c:pt>
                <c:pt idx="92">
                  <c:v>7.0947016226095005E-3</c:v>
                </c:pt>
                <c:pt idx="93">
                  <c:v>1.2739187347388325E-2</c:v>
                </c:pt>
                <c:pt idx="94">
                  <c:v>9.6806160156381882E-3</c:v>
                </c:pt>
                <c:pt idx="95">
                  <c:v>1.0793462781972574E-2</c:v>
                </c:pt>
                <c:pt idx="96">
                  <c:v>4.8846649511391504E-3</c:v>
                </c:pt>
                <c:pt idx="97">
                  <c:v>5.2567575042119508E-3</c:v>
                </c:pt>
                <c:pt idx="98">
                  <c:v>-8.265481859481727E-3</c:v>
                </c:pt>
                <c:pt idx="99">
                  <c:v>-1.6044904930659576E-2</c:v>
                </c:pt>
                <c:pt idx="100">
                  <c:v>8.2973232041714251E-3</c:v>
                </c:pt>
                <c:pt idx="101">
                  <c:v>8.0575164075900041E-3</c:v>
                </c:pt>
                <c:pt idx="102">
                  <c:v>-2.8344983714895244E-3</c:v>
                </c:pt>
                <c:pt idx="103">
                  <c:v>-2.1546223131642783E-2</c:v>
                </c:pt>
                <c:pt idx="104">
                  <c:v>2.2659285003692187E-3</c:v>
                </c:pt>
                <c:pt idx="105">
                  <c:v>3.8841007282799378E-3</c:v>
                </c:pt>
                <c:pt idx="106">
                  <c:v>3.5802476450690346E-3</c:v>
                </c:pt>
                <c:pt idx="107">
                  <c:v>9.3216977040408988E-3</c:v>
                </c:pt>
                <c:pt idx="108">
                  <c:v>7.5252214306982257E-3</c:v>
                </c:pt>
                <c:pt idx="109">
                  <c:v>-1.2844505574918896E-2</c:v>
                </c:pt>
                <c:pt idx="110">
                  <c:v>4.3038547809326477E-3</c:v>
                </c:pt>
                <c:pt idx="111">
                  <c:v>9.1995179152974949E-3</c:v>
                </c:pt>
                <c:pt idx="112">
                  <c:v>6.6244047060253219E-3</c:v>
                </c:pt>
                <c:pt idx="113">
                  <c:v>-1.4792714097465631E-2</c:v>
                </c:pt>
                <c:pt idx="114">
                  <c:v>9.305778123212427E-3</c:v>
                </c:pt>
                <c:pt idx="115">
                  <c:v>2.5454444772290419E-3</c:v>
                </c:pt>
                <c:pt idx="116">
                  <c:v>-1.2130565398305038E-2</c:v>
                </c:pt>
                <c:pt idx="117">
                  <c:v>6.9107480596695137E-3</c:v>
                </c:pt>
                <c:pt idx="118">
                  <c:v>1.888833051233596E-2</c:v>
                </c:pt>
                <c:pt idx="119">
                  <c:v>-2.2825176806969827E-3</c:v>
                </c:pt>
                <c:pt idx="120">
                  <c:v>2.6838519681310125E-2</c:v>
                </c:pt>
                <c:pt idx="121">
                  <c:v>-8.1499023466413689E-4</c:v>
                </c:pt>
                <c:pt idx="122">
                  <c:v>8.3205959164489585E-3</c:v>
                </c:pt>
                <c:pt idx="123">
                  <c:v>-1.7582737977182572E-2</c:v>
                </c:pt>
                <c:pt idx="124">
                  <c:v>4.6116385614094479E-3</c:v>
                </c:pt>
                <c:pt idx="125">
                  <c:v>1.2295836353107603E-2</c:v>
                </c:pt>
                <c:pt idx="126">
                  <c:v>3.1309860516826049E-3</c:v>
                </c:pt>
                <c:pt idx="127">
                  <c:v>2.5723916821751347E-2</c:v>
                </c:pt>
                <c:pt idx="128">
                  <c:v>-8.2372624350451895E-3</c:v>
                </c:pt>
                <c:pt idx="129">
                  <c:v>-2.6453163981132732E-4</c:v>
                </c:pt>
                <c:pt idx="130">
                  <c:v>1.1641419699069955E-2</c:v>
                </c:pt>
                <c:pt idx="131">
                  <c:v>-2.9343962239816834E-2</c:v>
                </c:pt>
                <c:pt idx="132">
                  <c:v>-2.6943915243432537E-3</c:v>
                </c:pt>
                <c:pt idx="133">
                  <c:v>7.8888756736283927E-3</c:v>
                </c:pt>
                <c:pt idx="134">
                  <c:v>-1.3992408720334915E-2</c:v>
                </c:pt>
                <c:pt idx="135">
                  <c:v>-1.5767703392020826E-2</c:v>
                </c:pt>
                <c:pt idx="136">
                  <c:v>-1.8395741844101865E-2</c:v>
                </c:pt>
                <c:pt idx="137">
                  <c:v>-1.68899913196352E-4</c:v>
                </c:pt>
                <c:pt idx="138">
                  <c:v>2.2571147762018962E-2</c:v>
                </c:pt>
                <c:pt idx="139">
                  <c:v>6.6054619465849562E-4</c:v>
                </c:pt>
                <c:pt idx="140">
                  <c:v>-5.0387651690703361E-2</c:v>
                </c:pt>
                <c:pt idx="141">
                  <c:v>-3.0991212305574889E-2</c:v>
                </c:pt>
                <c:pt idx="142">
                  <c:v>-1.6738600126315895E-3</c:v>
                </c:pt>
                <c:pt idx="143">
                  <c:v>1.5149719312924859E-2</c:v>
                </c:pt>
                <c:pt idx="144">
                  <c:v>4.4829450216699041E-3</c:v>
                </c:pt>
                <c:pt idx="145">
                  <c:v>7.3403489596326477E-3</c:v>
                </c:pt>
                <c:pt idx="146">
                  <c:v>-4.5469647933257251E-3</c:v>
                </c:pt>
                <c:pt idx="147">
                  <c:v>-2.4010187665782889E-2</c:v>
                </c:pt>
                <c:pt idx="148">
                  <c:v>-4.4461862808359509E-2</c:v>
                </c:pt>
                <c:pt idx="149">
                  <c:v>-6.0282324798551778E-3</c:v>
                </c:pt>
                <c:pt idx="150">
                  <c:v>4.1063628475497271E-3</c:v>
                </c:pt>
                <c:pt idx="151">
                  <c:v>1.9441263144114762E-2</c:v>
                </c:pt>
                <c:pt idx="152">
                  <c:v>1.0121607698064361E-2</c:v>
                </c:pt>
                <c:pt idx="153">
                  <c:v>-8.4316529280947794E-3</c:v>
                </c:pt>
                <c:pt idx="154">
                  <c:v>1.1522601783691577E-2</c:v>
                </c:pt>
                <c:pt idx="155">
                  <c:v>-2.3087295525374252E-2</c:v>
                </c:pt>
                <c:pt idx="156">
                  <c:v>5.7992778372966125E-3</c:v>
                </c:pt>
                <c:pt idx="157">
                  <c:v>1.029136079895987E-2</c:v>
                </c:pt>
                <c:pt idx="158">
                  <c:v>2.2766285082161719E-2</c:v>
                </c:pt>
                <c:pt idx="159">
                  <c:v>3.0598600962903344E-3</c:v>
                </c:pt>
                <c:pt idx="160">
                  <c:v>-7.9554312125151849E-3</c:v>
                </c:pt>
                <c:pt idx="161">
                  <c:v>-1.2360551011425636E-2</c:v>
                </c:pt>
                <c:pt idx="162">
                  <c:v>1.1111101772564025E-2</c:v>
                </c:pt>
                <c:pt idx="163">
                  <c:v>3.2604680030419164E-3</c:v>
                </c:pt>
                <c:pt idx="164">
                  <c:v>-8.9071824728217397E-3</c:v>
                </c:pt>
                <c:pt idx="165">
                  <c:v>-1.1112383656173397E-2</c:v>
                </c:pt>
                <c:pt idx="166">
                  <c:v>-6.5704238125318115E-3</c:v>
                </c:pt>
                <c:pt idx="167">
                  <c:v>9.8899959087523914E-3</c:v>
                </c:pt>
                <c:pt idx="168">
                  <c:v>-3.6846720511359843E-2</c:v>
                </c:pt>
                <c:pt idx="169">
                  <c:v>-5.7828652216201926E-3</c:v>
                </c:pt>
                <c:pt idx="170">
                  <c:v>5.049571765106009E-3</c:v>
                </c:pt>
                <c:pt idx="171">
                  <c:v>-4.0193419021496535E-2</c:v>
                </c:pt>
                <c:pt idx="172">
                  <c:v>-1.3335930732950585E-2</c:v>
                </c:pt>
                <c:pt idx="173">
                  <c:v>-3.3621984524667692E-4</c:v>
                </c:pt>
                <c:pt idx="174">
                  <c:v>1.6816851872421212E-2</c:v>
                </c:pt>
                <c:pt idx="175">
                  <c:v>2.3352815403934191E-2</c:v>
                </c:pt>
                <c:pt idx="176">
                  <c:v>1.7906789731427786E-2</c:v>
                </c:pt>
                <c:pt idx="177">
                  <c:v>3.8104344745184537E-3</c:v>
                </c:pt>
                <c:pt idx="178">
                  <c:v>7.9716726836855933E-3</c:v>
                </c:pt>
                <c:pt idx="179">
                  <c:v>3.0755827628157206E-3</c:v>
                </c:pt>
                <c:pt idx="180">
                  <c:v>1.4579805854310957E-2</c:v>
                </c:pt>
                <c:pt idx="181">
                  <c:v>8.9428494467060915E-3</c:v>
                </c:pt>
                <c:pt idx="182">
                  <c:v>-1.0636337854585398E-2</c:v>
                </c:pt>
                <c:pt idx="183">
                  <c:v>2.7184882781348119E-3</c:v>
                </c:pt>
                <c:pt idx="184">
                  <c:v>-4.9293741583057438E-3</c:v>
                </c:pt>
                <c:pt idx="185">
                  <c:v>7.6784363086004337E-3</c:v>
                </c:pt>
                <c:pt idx="186">
                  <c:v>7.4971386901634407E-3</c:v>
                </c:pt>
                <c:pt idx="187">
                  <c:v>1.158891263748929E-2</c:v>
                </c:pt>
                <c:pt idx="188">
                  <c:v>6.8737258447668648E-3</c:v>
                </c:pt>
                <c:pt idx="189">
                  <c:v>-6.7668807699461375E-3</c:v>
                </c:pt>
                <c:pt idx="190">
                  <c:v>0</c:v>
                </c:pt>
                <c:pt idx="191">
                  <c:v>7.2350013695809956E-3</c:v>
                </c:pt>
                <c:pt idx="192">
                  <c:v>-2.4422382369427731E-2</c:v>
                </c:pt>
                <c:pt idx="193">
                  <c:v>8.5900703263628309E-3</c:v>
                </c:pt>
                <c:pt idx="194">
                  <c:v>-1.5330362708860901E-2</c:v>
                </c:pt>
                <c:pt idx="195">
                  <c:v>1.3591601124773867E-3</c:v>
                </c:pt>
                <c:pt idx="196">
                  <c:v>7.1569847637802386E-3</c:v>
                </c:pt>
                <c:pt idx="197">
                  <c:v>1.0536644253849481E-2</c:v>
                </c:pt>
                <c:pt idx="198">
                  <c:v>3.0310851295896057E-3</c:v>
                </c:pt>
                <c:pt idx="199">
                  <c:v>-1.8131921802786444E-3</c:v>
                </c:pt>
                <c:pt idx="200">
                  <c:v>-1.350215302452018E-2</c:v>
                </c:pt>
                <c:pt idx="201">
                  <c:v>3.0075319092612851E-3</c:v>
                </c:pt>
                <c:pt idx="202">
                  <c:v>3.977515399899767E-3</c:v>
                </c:pt>
                <c:pt idx="203">
                  <c:v>6.5215834776763959E-3</c:v>
                </c:pt>
                <c:pt idx="204">
                  <c:v>-1.4290913066945521E-2</c:v>
                </c:pt>
                <c:pt idx="205">
                  <c:v>-3.6862768209644514E-4</c:v>
                </c:pt>
                <c:pt idx="206">
                  <c:v>1.5671139458928396E-2</c:v>
                </c:pt>
                <c:pt idx="207">
                  <c:v>8.7734833348347419E-3</c:v>
                </c:pt>
                <c:pt idx="208">
                  <c:v>1.7754273683221466E-2</c:v>
                </c:pt>
                <c:pt idx="209">
                  <c:v>2.8170723385041896E-2</c:v>
                </c:pt>
                <c:pt idx="210">
                  <c:v>-1.9202085545399594E-2</c:v>
                </c:pt>
                <c:pt idx="211">
                  <c:v>1.0518677392803433E-3</c:v>
                </c:pt>
                <c:pt idx="212">
                  <c:v>-1.1967918835688152E-2</c:v>
                </c:pt>
                <c:pt idx="213">
                  <c:v>2.9544304089987872E-3</c:v>
                </c:pt>
                <c:pt idx="214">
                  <c:v>3.9884453253056895E-2</c:v>
                </c:pt>
                <c:pt idx="215">
                  <c:v>2.4021341610383828E-2</c:v>
                </c:pt>
                <c:pt idx="216">
                  <c:v>-1.32779787006021E-2</c:v>
                </c:pt>
                <c:pt idx="217">
                  <c:v>1.1213908460206534E-2</c:v>
                </c:pt>
                <c:pt idx="218">
                  <c:v>7.041740528111351E-3</c:v>
                </c:pt>
                <c:pt idx="219">
                  <c:v>-1.508635445371298E-2</c:v>
                </c:pt>
                <c:pt idx="220">
                  <c:v>-1.8448187223196633E-2</c:v>
                </c:pt>
                <c:pt idx="221">
                  <c:v>-1.7598779429106148E-2</c:v>
                </c:pt>
                <c:pt idx="222">
                  <c:v>1.6290768768056907E-2</c:v>
                </c:pt>
                <c:pt idx="223">
                  <c:v>1.6086712784817658E-2</c:v>
                </c:pt>
                <c:pt idx="224">
                  <c:v>-1.2014416236013292E-2</c:v>
                </c:pt>
                <c:pt idx="225">
                  <c:v>-4.7448476200411704E-2</c:v>
                </c:pt>
                <c:pt idx="226">
                  <c:v>-1.7121130489999192E-2</c:v>
                </c:pt>
                <c:pt idx="227">
                  <c:v>1.7540645412527978E-2</c:v>
                </c:pt>
                <c:pt idx="228">
                  <c:v>8.7683010081873736E-3</c:v>
                </c:pt>
                <c:pt idx="229">
                  <c:v>6.5045218214443423E-4</c:v>
                </c:pt>
                <c:pt idx="230">
                  <c:v>-1.6545463555940332E-3</c:v>
                </c:pt>
                <c:pt idx="231">
                  <c:v>1.5034044532398427E-2</c:v>
                </c:pt>
                <c:pt idx="232">
                  <c:v>-8.7476259147722946E-4</c:v>
                </c:pt>
                <c:pt idx="233">
                  <c:v>1.7684159434265601E-2</c:v>
                </c:pt>
                <c:pt idx="234">
                  <c:v>-9.9213889786878839E-3</c:v>
                </c:pt>
                <c:pt idx="235">
                  <c:v>1.1990337648727811E-2</c:v>
                </c:pt>
                <c:pt idx="236">
                  <c:v>4.9280001343017243E-3</c:v>
                </c:pt>
                <c:pt idx="237">
                  <c:v>5.588186876101231E-2</c:v>
                </c:pt>
                <c:pt idx="238">
                  <c:v>5.5246507688601731E-2</c:v>
                </c:pt>
                <c:pt idx="239">
                  <c:v>-1.7604847953267555E-2</c:v>
                </c:pt>
                <c:pt idx="240">
                  <c:v>-1.1148152296320935E-2</c:v>
                </c:pt>
                <c:pt idx="241">
                  <c:v>3.6034116921132009E-2</c:v>
                </c:pt>
                <c:pt idx="242">
                  <c:v>-6.3053262995688142E-3</c:v>
                </c:pt>
                <c:pt idx="243">
                  <c:v>-3.5922650385003307E-2</c:v>
                </c:pt>
                <c:pt idx="244">
                  <c:v>5.8386737746629613E-4</c:v>
                </c:pt>
                <c:pt idx="245">
                  <c:v>1.5383848282743751E-2</c:v>
                </c:pt>
                <c:pt idx="246">
                  <c:v>1.6822533614215818E-2</c:v>
                </c:pt>
                <c:pt idx="247">
                  <c:v>7.6041498762233761E-3</c:v>
                </c:pt>
                <c:pt idx="248">
                  <c:v>-2.6005532876892667E-3</c:v>
                </c:pt>
                <c:pt idx="249">
                  <c:v>-1.451948623752608E-2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4756048"/>
        <c:axId val="424755656"/>
      </c:lineChart>
      <c:dateAx>
        <c:axId val="424756048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24755656"/>
        <c:crosses val="autoZero"/>
        <c:auto val="1"/>
        <c:lblOffset val="100"/>
        <c:baseTimeUnit val="days"/>
      </c:dateAx>
      <c:valAx>
        <c:axId val="424755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2475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464820</xdr:colOff>
      <xdr:row>17</xdr:row>
      <xdr:rowOff>152400</xdr:rowOff>
    </xdr:from>
    <xdr:to>
      <xdr:col>19</xdr:col>
      <xdr:colOff>160020</xdr:colOff>
      <xdr:row>32</xdr:row>
      <xdr:rowOff>152400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129540</xdr:colOff>
      <xdr:row>1</xdr:row>
      <xdr:rowOff>68580</xdr:rowOff>
    </xdr:from>
    <xdr:to>
      <xdr:col>20</xdr:col>
      <xdr:colOff>274320</xdr:colOff>
      <xdr:row>16</xdr:row>
      <xdr:rowOff>68580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1"/>
  <sheetViews>
    <sheetView tabSelected="1" workbookViewId="0">
      <selection activeCell="H1" sqref="H1"/>
    </sheetView>
  </sheetViews>
  <sheetFormatPr defaultRowHeight="14.4" x14ac:dyDescent="0.3"/>
  <cols>
    <col min="1" max="1" width="23.88671875" customWidth="1"/>
    <col min="2" max="2" width="13.44140625" customWidth="1"/>
    <col min="3" max="3" width="12.21875" customWidth="1"/>
    <col min="4" max="4" width="12" customWidth="1"/>
    <col min="5" max="5" width="14.21875" customWidth="1"/>
    <col min="6" max="6" width="24.33203125" customWidth="1"/>
    <col min="7" max="7" width="20.88671875" customWidth="1"/>
    <col min="8" max="8" width="21.21875" customWidth="1"/>
    <col min="9" max="11" width="11.88671875" customWidth="1"/>
  </cols>
  <sheetData>
    <row r="1" spans="1:11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45293</v>
      </c>
      <c r="B2">
        <v>184.73497009277301</v>
      </c>
      <c r="C2">
        <v>137.67092895507801</v>
      </c>
      <c r="F2" s="2"/>
      <c r="G2" s="2"/>
      <c r="H2">
        <f>STDEV(D3:D251)</f>
        <v>1.4139399104914024E-2</v>
      </c>
      <c r="I2">
        <f>STDEV(E3:E251)</f>
        <v>1.7733224291515522E-2</v>
      </c>
      <c r="J2">
        <v>4742.830078125</v>
      </c>
    </row>
    <row r="3" spans="1:11" x14ac:dyDescent="0.3">
      <c r="A3" s="1">
        <v>45294</v>
      </c>
      <c r="B3">
        <v>183.35174560546801</v>
      </c>
      <c r="C3">
        <v>138.41822814941401</v>
      </c>
      <c r="D3" s="2">
        <f>B3/B2-1</f>
        <v>-7.4876158347840782E-3</v>
      </c>
      <c r="E3" s="2">
        <f>C3/C2-1</f>
        <v>5.4281553847859154E-3</v>
      </c>
      <c r="F3" s="2"/>
      <c r="G3" s="2"/>
      <c r="J3">
        <v>4704.81005859375</v>
      </c>
      <c r="K3" s="2">
        <f>J3/J2-1</f>
        <v>-8.016314922730805E-3</v>
      </c>
    </row>
    <row r="4" spans="1:11" x14ac:dyDescent="0.3">
      <c r="A4" s="1">
        <v>45295</v>
      </c>
      <c r="B4">
        <v>181.023178100585</v>
      </c>
      <c r="C4">
        <v>135.897369384765</v>
      </c>
      <c r="D4" s="2">
        <f t="shared" ref="D4:D67" si="0">B4/B3-1</f>
        <v>-1.2700001830871943E-2</v>
      </c>
      <c r="E4" s="2">
        <f t="shared" ref="E4:E67" si="1">C4/C3-1</f>
        <v>-1.8211898810956417E-2</v>
      </c>
      <c r="F4" s="2">
        <f>(1+D4)*(1+D3)-1</f>
        <v>-2.0092524930845346E-2</v>
      </c>
      <c r="G4" s="2">
        <f>(1+E4)*(1+E3)-1</f>
        <v>-1.2882600442768344E-2</v>
      </c>
      <c r="H4" t="s">
        <v>11</v>
      </c>
      <c r="I4" s="3">
        <f>COVAR(D3:D251,K3:K251)</f>
        <v>5.9546299175333509E-5</v>
      </c>
      <c r="J4">
        <v>4688.68017578125</v>
      </c>
      <c r="K4" s="2">
        <f t="shared" ref="K4:K67" si="2">J4/J3-1</f>
        <v>-3.4283812973570083E-3</v>
      </c>
    </row>
    <row r="5" spans="1:11" x14ac:dyDescent="0.3">
      <c r="A5" s="1">
        <v>45296</v>
      </c>
      <c r="B5">
        <v>180.29670715332</v>
      </c>
      <c r="C5">
        <v>135.23973083496</v>
      </c>
      <c r="D5" s="2">
        <f t="shared" si="0"/>
        <v>-4.0131377367672583E-3</v>
      </c>
      <c r="E5" s="2">
        <f t="shared" si="1"/>
        <v>-4.8392294330807939E-3</v>
      </c>
      <c r="F5" s="2">
        <f>(1+D5)*(1+F4)-1</f>
        <v>-2.4025028597585707E-2</v>
      </c>
      <c r="G5" s="2">
        <f>(1+E5)*(1+G4)-1</f>
        <v>-1.765948801661188E-2</v>
      </c>
      <c r="H5" t="s">
        <v>12</v>
      </c>
      <c r="I5" s="3">
        <f>COVAR(E3:E251,K3:K251)</f>
        <v>7.816346769569469E-5</v>
      </c>
      <c r="J5">
        <v>4697.240234375</v>
      </c>
      <c r="K5" s="2">
        <f t="shared" si="2"/>
        <v>1.8256861788026324E-3</v>
      </c>
    </row>
    <row r="6" spans="1:11" x14ac:dyDescent="0.3">
      <c r="A6" s="1">
        <v>45299</v>
      </c>
      <c r="B6">
        <v>184.65536499023401</v>
      </c>
      <c r="C6">
        <v>138.33851623535099</v>
      </c>
      <c r="D6" s="2">
        <f t="shared" si="0"/>
        <v>2.4174916479242858E-2</v>
      </c>
      <c r="E6" s="2">
        <f t="shared" si="1"/>
        <v>2.2913276899172441E-2</v>
      </c>
      <c r="F6" s="2">
        <f t="shared" ref="F6:F69" si="3">(1+D6)*(1+F5)-1</f>
        <v>-4.3091517810089908E-4</v>
      </c>
      <c r="G6" s="2">
        <f t="shared" ref="G6:G69" si="4">(1+E6)*(1+G5)-1</f>
        <v>4.8491521437383778E-3</v>
      </c>
      <c r="H6" t="s">
        <v>13</v>
      </c>
      <c r="I6" s="3">
        <f>VARP(K3:K251)</f>
        <v>6.3185713172794663E-5</v>
      </c>
      <c r="J6">
        <v>4763.5400390625</v>
      </c>
      <c r="K6" s="2">
        <f t="shared" si="2"/>
        <v>1.4114629309846638E-2</v>
      </c>
    </row>
    <row r="7" spans="1:11" x14ac:dyDescent="0.3">
      <c r="A7" s="1">
        <v>45300</v>
      </c>
      <c r="B7">
        <v>184.23741149902301</v>
      </c>
      <c r="C7">
        <v>140.44088745117099</v>
      </c>
      <c r="D7" s="2">
        <f t="shared" si="0"/>
        <v>-2.2634245760100313E-3</v>
      </c>
      <c r="E7" s="2">
        <f t="shared" si="1"/>
        <v>1.5197294817325568E-2</v>
      </c>
      <c r="F7" s="2">
        <f t="shared" si="3"/>
        <v>-2.6933644101065912E-3</v>
      </c>
      <c r="G7" s="2">
        <f t="shared" si="4"/>
        <v>2.0120140955806498E-2</v>
      </c>
      <c r="H7" t="s">
        <v>14</v>
      </c>
      <c r="I7" s="3">
        <f>I4/I6</f>
        <v>0.9424013148746393</v>
      </c>
      <c r="J7">
        <v>4756.5</v>
      </c>
      <c r="K7" s="2">
        <f t="shared" si="2"/>
        <v>-1.4779006799081618E-3</v>
      </c>
    </row>
    <row r="8" spans="1:11" x14ac:dyDescent="0.3">
      <c r="A8" s="1">
        <v>45301</v>
      </c>
      <c r="B8">
        <v>185.282302856445</v>
      </c>
      <c r="C8">
        <v>141.76609802246</v>
      </c>
      <c r="D8" s="2">
        <f t="shared" si="0"/>
        <v>5.6714396328105821E-3</v>
      </c>
      <c r="E8" s="2">
        <f t="shared" si="1"/>
        <v>9.4360737484642243E-3</v>
      </c>
      <c r="F8" s="2">
        <f t="shared" si="3"/>
        <v>2.9627999690429174E-3</v>
      </c>
      <c r="G8" s="2">
        <f t="shared" si="4"/>
        <v>2.9746069838159306E-2</v>
      </c>
      <c r="H8" t="s">
        <v>15</v>
      </c>
      <c r="I8" s="3">
        <f>I5/I6</f>
        <v>1.237043372161365</v>
      </c>
      <c r="J8">
        <v>4783.4501953125</v>
      </c>
      <c r="K8" s="2">
        <f t="shared" si="2"/>
        <v>5.6659718937244197E-3</v>
      </c>
    </row>
    <row r="9" spans="1:11" x14ac:dyDescent="0.3">
      <c r="A9" s="1">
        <v>45302</v>
      </c>
      <c r="B9">
        <v>184.68522644042901</v>
      </c>
      <c r="C9">
        <v>141.56681823730401</v>
      </c>
      <c r="D9" s="2">
        <f t="shared" si="0"/>
        <v>-3.2225226414559494E-3</v>
      </c>
      <c r="E9" s="2">
        <f t="shared" si="1"/>
        <v>-1.4056942240480153E-3</v>
      </c>
      <c r="F9" s="2">
        <f t="shared" si="3"/>
        <v>-2.6927036239532409E-4</v>
      </c>
      <c r="G9" s="2">
        <f t="shared" si="4"/>
        <v>2.8298561735551564E-2</v>
      </c>
      <c r="J9">
        <v>4780.240234375</v>
      </c>
      <c r="K9" s="2">
        <f t="shared" si="2"/>
        <v>-6.7105557838686991E-4</v>
      </c>
    </row>
    <row r="10" spans="1:11" x14ac:dyDescent="0.3">
      <c r="A10" s="1">
        <v>45303</v>
      </c>
      <c r="B10">
        <v>185.01361083984301</v>
      </c>
      <c r="C10">
        <v>142.13475036621</v>
      </c>
      <c r="D10" s="2">
        <f t="shared" si="0"/>
        <v>1.7780761663679368E-3</v>
      </c>
      <c r="E10" s="2">
        <f t="shared" si="1"/>
        <v>4.0117602131453101E-3</v>
      </c>
      <c r="F10" s="2">
        <f t="shared" si="3"/>
        <v>1.5083270207589816E-3</v>
      </c>
      <c r="G10" s="2">
        <f t="shared" si="4"/>
        <v>3.2423848992756854E-2</v>
      </c>
      <c r="J10">
        <v>4783.830078125</v>
      </c>
      <c r="K10" s="2">
        <f t="shared" si="2"/>
        <v>7.5097559411041459E-4</v>
      </c>
    </row>
    <row r="11" spans="1:11" x14ac:dyDescent="0.3">
      <c r="A11" s="1">
        <v>45307</v>
      </c>
      <c r="B11">
        <v>182.734771728515</v>
      </c>
      <c r="C11">
        <v>141.975326538085</v>
      </c>
      <c r="D11" s="2">
        <f t="shared" si="0"/>
        <v>-1.2317143052251955E-2</v>
      </c>
      <c r="E11" s="2">
        <f t="shared" si="1"/>
        <v>-1.1216386401935452E-3</v>
      </c>
      <c r="F11" s="2">
        <f t="shared" si="3"/>
        <v>-1.0827394311177185E-2</v>
      </c>
      <c r="G11" s="2">
        <f t="shared" si="4"/>
        <v>3.1265842510669328E-2</v>
      </c>
      <c r="J11">
        <v>4765.97998046875</v>
      </c>
      <c r="K11" s="2">
        <f t="shared" si="2"/>
        <v>-3.7313402367431525E-3</v>
      </c>
    </row>
    <row r="12" spans="1:11" x14ac:dyDescent="0.3">
      <c r="A12" s="1">
        <v>45308</v>
      </c>
      <c r="B12">
        <v>181.78938293457</v>
      </c>
      <c r="C12">
        <v>140.95901489257801</v>
      </c>
      <c r="D12" s="2">
        <f t="shared" si="0"/>
        <v>-5.1735571998827723E-3</v>
      </c>
      <c r="E12" s="2">
        <f t="shared" si="1"/>
        <v>-7.1583680790785476E-3</v>
      </c>
      <c r="F12" s="2">
        <f t="shared" si="3"/>
        <v>-1.5944935367265378E-2</v>
      </c>
      <c r="G12" s="2">
        <f t="shared" si="4"/>
        <v>2.3883662022596841E-2</v>
      </c>
      <c r="J12">
        <v>4739.2099609375</v>
      </c>
      <c r="K12" s="2">
        <f t="shared" si="2"/>
        <v>-5.6168971839904991E-3</v>
      </c>
    </row>
    <row r="13" spans="1:11" x14ac:dyDescent="0.3">
      <c r="A13" s="1">
        <v>45309</v>
      </c>
      <c r="B13">
        <v>187.71041870117099</v>
      </c>
      <c r="C13">
        <v>142.96176147460901</v>
      </c>
      <c r="D13" s="2">
        <f t="shared" si="0"/>
        <v>3.2570855739865179E-2</v>
      </c>
      <c r="E13" s="2">
        <f t="shared" si="1"/>
        <v>1.4208006373747972E-2</v>
      </c>
      <c r="F13" s="2">
        <f t="shared" si="3"/>
        <v>1.6106580182971175E-2</v>
      </c>
      <c r="G13" s="2">
        <f t="shared" si="4"/>
        <v>3.8431007618590307E-2</v>
      </c>
      <c r="J13">
        <v>4780.93994140625</v>
      </c>
      <c r="K13" s="2">
        <f t="shared" si="2"/>
        <v>8.805260963896E-3</v>
      </c>
    </row>
    <row r="14" spans="1:11" x14ac:dyDescent="0.3">
      <c r="A14" s="1">
        <v>45310</v>
      </c>
      <c r="B14">
        <v>190.62611389160099</v>
      </c>
      <c r="C14">
        <v>145.85127258300699</v>
      </c>
      <c r="D14" s="2">
        <f t="shared" si="0"/>
        <v>1.5532942766867341E-2</v>
      </c>
      <c r="E14" s="2">
        <f t="shared" si="1"/>
        <v>2.0211776062308617E-2</v>
      </c>
      <c r="F14" s="2">
        <f t="shared" si="3"/>
        <v>3.1889705537990531E-2</v>
      </c>
      <c r="G14" s="2">
        <f t="shared" si="4"/>
        <v>5.9419542600734676E-2</v>
      </c>
      <c r="J14">
        <v>4839.81005859375</v>
      </c>
      <c r="K14" s="2">
        <f t="shared" si="2"/>
        <v>1.2313502764936146E-2</v>
      </c>
    </row>
    <row r="15" spans="1:11" x14ac:dyDescent="0.3">
      <c r="A15" s="1">
        <v>45313</v>
      </c>
      <c r="B15">
        <v>192.94474792480401</v>
      </c>
      <c r="C15">
        <v>145.46267700195301</v>
      </c>
      <c r="D15" s="2">
        <f t="shared" si="0"/>
        <v>1.2163255001470974E-2</v>
      </c>
      <c r="E15" s="2">
        <f t="shared" si="1"/>
        <v>-2.6643276686723061E-3</v>
      </c>
      <c r="F15" s="2">
        <f t="shared" si="3"/>
        <v>4.4440843159841981E-2</v>
      </c>
      <c r="G15" s="2">
        <f t="shared" si="4"/>
        <v>5.6596901800651356E-2</v>
      </c>
      <c r="J15">
        <v>4850.43017578125</v>
      </c>
      <c r="K15" s="2">
        <f t="shared" si="2"/>
        <v>2.1943252026270788E-3</v>
      </c>
    </row>
    <row r="16" spans="1:11" x14ac:dyDescent="0.3">
      <c r="A16" s="1">
        <v>45314</v>
      </c>
      <c r="B16">
        <v>194.22846984863199</v>
      </c>
      <c r="C16">
        <v>146.50889587402301</v>
      </c>
      <c r="D16" s="2">
        <f t="shared" si="0"/>
        <v>6.6533136435944495E-3</v>
      </c>
      <c r="E16" s="2">
        <f t="shared" si="1"/>
        <v>7.1923526614043887E-3</v>
      </c>
      <c r="F16" s="2">
        <f t="shared" si="3"/>
        <v>5.1389835671564743E-2</v>
      </c>
      <c r="G16" s="2">
        <f t="shared" si="4"/>
        <v>6.4196319339348884E-2</v>
      </c>
      <c r="J16">
        <v>4864.60009765625</v>
      </c>
      <c r="K16" s="2">
        <f t="shared" si="2"/>
        <v>2.921374261968035E-3</v>
      </c>
    </row>
    <row r="17" spans="1:11" x14ac:dyDescent="0.3">
      <c r="A17" s="1">
        <v>45315</v>
      </c>
      <c r="B17">
        <v>193.55177307128901</v>
      </c>
      <c r="C17">
        <v>148.16288757324199</v>
      </c>
      <c r="D17" s="2">
        <f t="shared" si="0"/>
        <v>-3.4840246533907049E-3</v>
      </c>
      <c r="E17" s="2">
        <f t="shared" si="1"/>
        <v>1.1289360208141641E-2</v>
      </c>
      <c r="F17" s="2">
        <f t="shared" si="3"/>
        <v>4.7726767563760708E-2</v>
      </c>
      <c r="G17" s="2">
        <f t="shared" si="4"/>
        <v>7.6210414920549363E-2</v>
      </c>
      <c r="J17">
        <v>4868.5498046875</v>
      </c>
      <c r="K17" s="2">
        <f t="shared" si="2"/>
        <v>8.1192841178312491E-4</v>
      </c>
    </row>
    <row r="18" spans="1:11" x14ac:dyDescent="0.3">
      <c r="A18" s="1">
        <v>45316</v>
      </c>
      <c r="B18">
        <v>193.22340393066401</v>
      </c>
      <c r="C18">
        <v>151.32144165039</v>
      </c>
      <c r="D18" s="2">
        <f t="shared" si="0"/>
        <v>-1.6965442135425945E-3</v>
      </c>
      <c r="E18" s="2">
        <f t="shared" si="1"/>
        <v>2.1318119057220919E-2</v>
      </c>
      <c r="F18" s="2">
        <f t="shared" si="3"/>
        <v>4.5949252778876737E-2</v>
      </c>
      <c r="G18" s="2">
        <f t="shared" si="4"/>
        <v>9.9153196676446731E-2</v>
      </c>
      <c r="J18">
        <v>4894.16015625</v>
      </c>
      <c r="K18" s="2">
        <f t="shared" si="2"/>
        <v>5.2603655277063677E-3</v>
      </c>
    </row>
    <row r="19" spans="1:11" x14ac:dyDescent="0.3">
      <c r="A19" s="1">
        <v>45317</v>
      </c>
      <c r="B19">
        <v>191.48191833496</v>
      </c>
      <c r="C19">
        <v>151.64028930664</v>
      </c>
      <c r="D19" s="2">
        <f t="shared" si="0"/>
        <v>-9.0128088020274832E-3</v>
      </c>
      <c r="E19" s="2">
        <f t="shared" si="1"/>
        <v>2.1070884124052558E-3</v>
      </c>
      <c r="F19" s="2">
        <f t="shared" si="3"/>
        <v>3.6522312146957114E-2</v>
      </c>
      <c r="G19" s="2">
        <f t="shared" si="4"/>
        <v>0.10146920964062178</v>
      </c>
      <c r="J19">
        <v>4890.97021484375</v>
      </c>
      <c r="K19" s="2">
        <f t="shared" si="2"/>
        <v>-6.5178525107645324E-4</v>
      </c>
    </row>
    <row r="20" spans="1:11" x14ac:dyDescent="0.3">
      <c r="A20" s="1">
        <v>45320</v>
      </c>
      <c r="B20">
        <v>190.79528808593699</v>
      </c>
      <c r="C20">
        <v>152.95552062988199</v>
      </c>
      <c r="D20" s="2">
        <f t="shared" si="0"/>
        <v>-3.5858751311540482E-3</v>
      </c>
      <c r="E20" s="2">
        <f t="shared" si="1"/>
        <v>8.6733633208941896E-3</v>
      </c>
      <c r="F20" s="2">
        <f t="shared" si="3"/>
        <v>3.280547256494315E-2</v>
      </c>
      <c r="G20" s="2">
        <f t="shared" si="4"/>
        <v>0.11102265228261299</v>
      </c>
      <c r="J20">
        <v>4927.93017578125</v>
      </c>
      <c r="K20" s="2">
        <f t="shared" si="2"/>
        <v>7.5567748961808956E-3</v>
      </c>
    </row>
    <row r="21" spans="1:11" x14ac:dyDescent="0.3">
      <c r="A21" s="1">
        <v>45321</v>
      </c>
      <c r="B21">
        <v>187.12326049804599</v>
      </c>
      <c r="C21">
        <v>150.91293334960901</v>
      </c>
      <c r="D21" s="2">
        <f t="shared" si="0"/>
        <v>-1.9245902897963907E-2</v>
      </c>
      <c r="E21" s="2">
        <f t="shared" si="1"/>
        <v>-1.3354125904455505E-2</v>
      </c>
      <c r="F21" s="2">
        <f t="shared" si="3"/>
        <v>1.2928198727472529E-2</v>
      </c>
      <c r="G21" s="2">
        <f t="shared" si="4"/>
        <v>9.6185915901328967E-2</v>
      </c>
      <c r="J21">
        <v>4924.97021484375</v>
      </c>
      <c r="K21" s="2">
        <f t="shared" si="2"/>
        <v>-6.0064993453989857E-4</v>
      </c>
    </row>
    <row r="22" spans="1:11" x14ac:dyDescent="0.3">
      <c r="A22" s="1">
        <v>45322</v>
      </c>
      <c r="B22">
        <v>183.50102233886699</v>
      </c>
      <c r="C22">
        <v>139.59396362304599</v>
      </c>
      <c r="D22" s="2">
        <f t="shared" si="0"/>
        <v>-1.9357498097981374E-2</v>
      </c>
      <c r="E22" s="2">
        <f t="shared" si="1"/>
        <v>-7.5003311348677992E-2</v>
      </c>
      <c r="F22" s="2">
        <f t="shared" si="3"/>
        <v>-6.6795569527862142E-3</v>
      </c>
      <c r="G22" s="2">
        <f t="shared" si="4"/>
        <v>1.3968342354945928E-2</v>
      </c>
      <c r="J22">
        <v>4845.64990234375</v>
      </c>
      <c r="K22" s="2">
        <f t="shared" si="2"/>
        <v>-1.6105744611597972E-2</v>
      </c>
    </row>
    <row r="23" spans="1:11" x14ac:dyDescent="0.3">
      <c r="A23" s="1">
        <v>45323</v>
      </c>
      <c r="B23">
        <v>185.94905090332</v>
      </c>
      <c r="C23">
        <v>140.650146484375</v>
      </c>
      <c r="D23" s="2">
        <f t="shared" si="0"/>
        <v>1.3340680794313498E-2</v>
      </c>
      <c r="E23" s="2">
        <f t="shared" si="1"/>
        <v>7.5661069713663931E-3</v>
      </c>
      <c r="F23" s="2">
        <f t="shared" si="3"/>
        <v>6.5720140043727948E-3</v>
      </c>
      <c r="G23" s="2">
        <f t="shared" si="4"/>
        <v>2.1640135298782504E-2</v>
      </c>
      <c r="J23">
        <v>4906.18994140625</v>
      </c>
      <c r="K23" s="2">
        <f t="shared" si="2"/>
        <v>1.2493688211609788E-2</v>
      </c>
    </row>
    <row r="24" spans="1:11" x14ac:dyDescent="0.3">
      <c r="A24" s="1">
        <v>45324</v>
      </c>
      <c r="B24">
        <v>184.94395446777301</v>
      </c>
      <c r="C24">
        <v>141.86572265625</v>
      </c>
      <c r="D24" s="2">
        <f t="shared" si="0"/>
        <v>-5.4052248756546462E-3</v>
      </c>
      <c r="E24" s="2">
        <f t="shared" si="1"/>
        <v>8.6425517659167728E-3</v>
      </c>
      <c r="F24" s="2">
        <f t="shared" si="3"/>
        <v>1.1312659151385684E-3</v>
      </c>
      <c r="G24" s="2">
        <f t="shared" si="4"/>
        <v>3.0469713054240399E-2</v>
      </c>
      <c r="J24">
        <v>4958.60986328125</v>
      </c>
      <c r="K24" s="2">
        <f t="shared" si="2"/>
        <v>1.068444607751462E-2</v>
      </c>
    </row>
    <row r="25" spans="1:11" x14ac:dyDescent="0.3">
      <c r="A25" s="1">
        <v>45327</v>
      </c>
      <c r="B25">
        <v>186.76502990722599</v>
      </c>
      <c r="C25">
        <v>143.16102600097599</v>
      </c>
      <c r="D25" s="2">
        <f t="shared" si="0"/>
        <v>9.8466340502647576E-3</v>
      </c>
      <c r="E25" s="2">
        <f t="shared" si="1"/>
        <v>9.130488468060749E-3</v>
      </c>
      <c r="F25" s="2">
        <f t="shared" si="3"/>
        <v>1.0989039126883204E-2</v>
      </c>
      <c r="G25" s="2">
        <f t="shared" si="4"/>
        <v>3.9878404885967944E-2</v>
      </c>
      <c r="J25">
        <v>4942.81005859375</v>
      </c>
      <c r="K25" s="2">
        <f t="shared" si="2"/>
        <v>-3.1863375266721894E-3</v>
      </c>
    </row>
    <row r="26" spans="1:11" x14ac:dyDescent="0.3">
      <c r="A26" s="1">
        <v>45328</v>
      </c>
      <c r="B26">
        <v>188.37713623046801</v>
      </c>
      <c r="C26">
        <v>143.57951354980401</v>
      </c>
      <c r="D26" s="2">
        <f t="shared" si="0"/>
        <v>8.6317354166505211E-3</v>
      </c>
      <c r="E26" s="2">
        <f t="shared" si="1"/>
        <v>2.9231946746817172E-3</v>
      </c>
      <c r="F26" s="2">
        <f t="shared" si="3"/>
        <v>1.9715629021760162E-2</v>
      </c>
      <c r="G26" s="2">
        <f t="shared" si="4"/>
        <v>4.2918171901447089E-2</v>
      </c>
      <c r="J26">
        <v>4954.22998046875</v>
      </c>
      <c r="K26" s="2">
        <f t="shared" si="2"/>
        <v>2.3104108269635937E-3</v>
      </c>
    </row>
    <row r="27" spans="1:11" x14ac:dyDescent="0.3">
      <c r="A27" s="1">
        <v>45329</v>
      </c>
      <c r="B27">
        <v>188.48660278320301</v>
      </c>
      <c r="C27">
        <v>145.01429748535099</v>
      </c>
      <c r="D27" s="2">
        <f t="shared" si="0"/>
        <v>5.8110317910919917E-4</v>
      </c>
      <c r="E27" s="2">
        <f t="shared" si="1"/>
        <v>9.9929572128638622E-3</v>
      </c>
      <c r="F27" s="2">
        <f t="shared" si="3"/>
        <v>2.0308189015572076E-2</v>
      </c>
      <c r="G27" s="2">
        <f t="shared" si="4"/>
        <v>5.3340008569776387E-2</v>
      </c>
      <c r="J27">
        <v>4995.06005859375</v>
      </c>
      <c r="K27" s="2">
        <f t="shared" si="2"/>
        <v>8.241457963390042E-3</v>
      </c>
    </row>
    <row r="28" spans="1:11" x14ac:dyDescent="0.3">
      <c r="A28" s="1">
        <v>45330</v>
      </c>
      <c r="B28">
        <v>187.40191650390599</v>
      </c>
      <c r="C28">
        <v>145.38296508789</v>
      </c>
      <c r="D28" s="2">
        <f t="shared" si="0"/>
        <v>-5.7547128723234309E-3</v>
      </c>
      <c r="E28" s="2">
        <f t="shared" si="1"/>
        <v>2.5422845121616522E-3</v>
      </c>
      <c r="F28" s="2">
        <f t="shared" si="3"/>
        <v>1.4436608346507063E-2</v>
      </c>
      <c r="G28" s="2">
        <f t="shared" si="4"/>
        <v>5.6017898559603596E-2</v>
      </c>
      <c r="J28">
        <v>4997.91015625</v>
      </c>
      <c r="K28" s="2">
        <f t="shared" si="2"/>
        <v>5.7058326082515265E-4</v>
      </c>
    </row>
    <row r="29" spans="1:11" x14ac:dyDescent="0.3">
      <c r="A29" s="1">
        <v>45331</v>
      </c>
      <c r="B29">
        <v>188.16914367675699</v>
      </c>
      <c r="C29">
        <v>148.461822509765</v>
      </c>
      <c r="D29" s="2">
        <f t="shared" si="0"/>
        <v>4.0940198860506261E-3</v>
      </c>
      <c r="E29" s="2">
        <f t="shared" si="1"/>
        <v>2.1177566574004825E-2</v>
      </c>
      <c r="F29" s="2">
        <f t="shared" si="3"/>
        <v>1.858973199421543E-2</v>
      </c>
      <c r="G29" s="2">
        <f t="shared" si="4"/>
        <v>7.8381787909690193E-2</v>
      </c>
      <c r="J29">
        <v>5026.60986328125</v>
      </c>
      <c r="K29" s="2">
        <f t="shared" si="2"/>
        <v>5.7423415255595245E-3</v>
      </c>
    </row>
    <row r="30" spans="1:11" x14ac:dyDescent="0.3">
      <c r="A30" s="1">
        <v>45334</v>
      </c>
      <c r="B30">
        <v>186.47526550292901</v>
      </c>
      <c r="C30">
        <v>146.99713134765599</v>
      </c>
      <c r="D30" s="2">
        <f t="shared" si="0"/>
        <v>-9.0018912810582163E-3</v>
      </c>
      <c r="E30" s="2">
        <f t="shared" si="1"/>
        <v>-9.8657765164688049E-3</v>
      </c>
      <c r="F30" s="2">
        <f t="shared" si="3"/>
        <v>9.4204979668013333E-3</v>
      </c>
      <c r="G30" s="2">
        <f t="shared" si="4"/>
        <v>6.7742714190743181E-2</v>
      </c>
      <c r="J30">
        <v>5021.83984375</v>
      </c>
      <c r="K30" s="2">
        <f t="shared" si="2"/>
        <v>-9.489536011326738E-4</v>
      </c>
    </row>
    <row r="31" spans="1:11" x14ac:dyDescent="0.3">
      <c r="A31" s="1">
        <v>45335</v>
      </c>
      <c r="B31">
        <v>184.37286376953099</v>
      </c>
      <c r="C31">
        <v>144.61575317382801</v>
      </c>
      <c r="D31" s="2">
        <f t="shared" si="0"/>
        <v>-1.1274426813270733E-2</v>
      </c>
      <c r="E31" s="2">
        <f t="shared" si="1"/>
        <v>-1.6200167663108278E-2</v>
      </c>
      <c r="F31" s="2">
        <f t="shared" si="3"/>
        <v>-1.960139561340668E-3</v>
      </c>
      <c r="G31" s="2">
        <f t="shared" si="4"/>
        <v>5.0445103199790786E-2</v>
      </c>
      <c r="J31">
        <v>4953.169921875</v>
      </c>
      <c r="K31" s="2">
        <f t="shared" si="2"/>
        <v>-1.3674255653625456E-2</v>
      </c>
    </row>
    <row r="32" spans="1:11" x14ac:dyDescent="0.3">
      <c r="A32" s="1">
        <v>45336</v>
      </c>
      <c r="B32">
        <v>183.486068725585</v>
      </c>
      <c r="C32">
        <v>145.41285705566401</v>
      </c>
      <c r="D32" s="2">
        <f t="shared" si="0"/>
        <v>-4.8097915594265128E-3</v>
      </c>
      <c r="E32" s="2">
        <f t="shared" si="1"/>
        <v>5.5118744973645661E-3</v>
      </c>
      <c r="F32" s="2">
        <f t="shared" si="3"/>
        <v>-6.760503258049777E-3</v>
      </c>
      <c r="G32" s="2">
        <f t="shared" si="4"/>
        <v>5.6235024774999198E-2</v>
      </c>
      <c r="J32">
        <v>5000.6201171875</v>
      </c>
      <c r="K32" s="2">
        <f t="shared" si="2"/>
        <v>9.5797632750176387E-3</v>
      </c>
    </row>
    <row r="33" spans="1:11" x14ac:dyDescent="0.3">
      <c r="A33" s="1">
        <v>45337</v>
      </c>
      <c r="B33">
        <v>183.19712829589801</v>
      </c>
      <c r="C33">
        <v>142.25431823730401</v>
      </c>
      <c r="D33" s="2">
        <f t="shared" si="0"/>
        <v>-1.5747267991179648E-3</v>
      </c>
      <c r="E33" s="2">
        <f t="shared" si="1"/>
        <v>-2.1721179834537696E-2</v>
      </c>
      <c r="F33" s="2">
        <f t="shared" si="3"/>
        <v>-8.3245841115117125E-3</v>
      </c>
      <c r="G33" s="2">
        <f t="shared" si="4"/>
        <v>3.3292353854324164E-2</v>
      </c>
      <c r="J33">
        <v>5029.72998046875</v>
      </c>
      <c r="K33" s="2">
        <f t="shared" si="2"/>
        <v>5.8212506847294954E-3</v>
      </c>
    </row>
    <row r="34" spans="1:11" x14ac:dyDescent="0.3">
      <c r="A34" s="1">
        <v>45338</v>
      </c>
      <c r="B34">
        <v>181.65269470214801</v>
      </c>
      <c r="C34">
        <v>140.012451171875</v>
      </c>
      <c r="D34" s="2">
        <f t="shared" si="0"/>
        <v>-8.430446525643398E-3</v>
      </c>
      <c r="E34" s="2">
        <f t="shared" si="1"/>
        <v>-1.5759571260882232E-2</v>
      </c>
      <c r="F34" s="2">
        <f t="shared" si="3"/>
        <v>-1.6684850675954821E-2</v>
      </c>
      <c r="G34" s="2">
        <f t="shared" si="4"/>
        <v>1.7008109370432178E-2</v>
      </c>
      <c r="J34">
        <v>5005.56982421875</v>
      </c>
      <c r="K34" s="2">
        <f t="shared" si="2"/>
        <v>-4.8034698371121065E-3</v>
      </c>
    </row>
    <row r="35" spans="1:11" x14ac:dyDescent="0.3">
      <c r="A35" s="1">
        <v>45342</v>
      </c>
      <c r="B35">
        <v>180.90541076660099</v>
      </c>
      <c r="C35">
        <v>140.61027526855401</v>
      </c>
      <c r="D35" s="2">
        <f t="shared" si="0"/>
        <v>-4.1138059458590837E-3</v>
      </c>
      <c r="E35" s="2">
        <f t="shared" si="1"/>
        <v>4.2697923768588719E-3</v>
      </c>
      <c r="F35" s="2">
        <f t="shared" si="3"/>
        <v>-2.0730018383897431E-2</v>
      </c>
      <c r="G35" s="2">
        <f t="shared" si="4"/>
        <v>2.1350522843025743E-2</v>
      </c>
      <c r="J35">
        <v>4975.509765625</v>
      </c>
      <c r="K35" s="2">
        <f t="shared" si="2"/>
        <v>-6.0053220011653252E-3</v>
      </c>
    </row>
    <row r="36" spans="1:11" x14ac:dyDescent="0.3">
      <c r="A36" s="1">
        <v>45343</v>
      </c>
      <c r="B36">
        <v>181.66268920898401</v>
      </c>
      <c r="C36">
        <v>142.03511047363199</v>
      </c>
      <c r="D36" s="2">
        <f t="shared" si="0"/>
        <v>4.1860463939358272E-3</v>
      </c>
      <c r="E36" s="2">
        <f t="shared" si="1"/>
        <v>1.0133222499967731E-2</v>
      </c>
      <c r="F36" s="2">
        <f t="shared" si="3"/>
        <v>-1.6630748808663776E-2</v>
      </c>
      <c r="G36" s="2">
        <f t="shared" si="4"/>
        <v>3.1700094941452539E-2</v>
      </c>
      <c r="J36">
        <v>4981.7998046875</v>
      </c>
      <c r="K36" s="2">
        <f t="shared" si="2"/>
        <v>1.264199922982101E-3</v>
      </c>
    </row>
    <row r="37" spans="1:11" x14ac:dyDescent="0.3">
      <c r="A37" s="1">
        <v>45344</v>
      </c>
      <c r="B37">
        <v>183.70526123046801</v>
      </c>
      <c r="C37">
        <v>143.56954956054599</v>
      </c>
      <c r="D37" s="2">
        <f t="shared" si="0"/>
        <v>1.1243761888464876E-2</v>
      </c>
      <c r="E37" s="2">
        <f t="shared" si="1"/>
        <v>1.0803237888133754E-2</v>
      </c>
      <c r="F37" s="2">
        <f t="shared" si="3"/>
        <v>-5.5739790998303729E-3</v>
      </c>
      <c r="G37" s="2">
        <f t="shared" si="4"/>
        <v>4.2845796496315147E-2</v>
      </c>
      <c r="J37">
        <v>5087.02978515625</v>
      </c>
      <c r="K37" s="2">
        <f t="shared" si="2"/>
        <v>2.112288421741404E-2</v>
      </c>
    </row>
    <row r="38" spans="1:11" x14ac:dyDescent="0.3">
      <c r="A38" s="1">
        <v>45345</v>
      </c>
      <c r="B38">
        <v>181.86196899414</v>
      </c>
      <c r="C38">
        <v>143.44003295898401</v>
      </c>
      <c r="D38" s="2">
        <f t="shared" si="0"/>
        <v>-1.0033965407313494E-2</v>
      </c>
      <c r="E38" s="2">
        <f t="shared" si="1"/>
        <v>-9.0211748910840051E-4</v>
      </c>
      <c r="F38" s="2">
        <f t="shared" si="3"/>
        <v>-1.5552015393675123E-2</v>
      </c>
      <c r="G38" s="2">
        <f t="shared" si="4"/>
        <v>4.1905027064852662E-2</v>
      </c>
      <c r="J38">
        <v>5088.7998046875</v>
      </c>
      <c r="K38" s="2">
        <f t="shared" si="2"/>
        <v>3.4794754621159107E-4</v>
      </c>
    </row>
    <row r="39" spans="1:11" x14ac:dyDescent="0.3">
      <c r="A39" s="1">
        <v>45348</v>
      </c>
      <c r="B39">
        <v>180.50686645507801</v>
      </c>
      <c r="C39">
        <v>137.07310485839801</v>
      </c>
      <c r="D39" s="2">
        <f t="shared" si="0"/>
        <v>-7.451269479577971E-3</v>
      </c>
      <c r="E39" s="2">
        <f t="shared" si="1"/>
        <v>-4.4387385928770562E-2</v>
      </c>
      <c r="F39" s="2">
        <f t="shared" si="3"/>
        <v>-2.2887402615604291E-2</v>
      </c>
      <c r="G39" s="2">
        <f t="shared" si="4"/>
        <v>-4.3424134726011143E-3</v>
      </c>
      <c r="J39">
        <v>5069.52978515625</v>
      </c>
      <c r="K39" s="2">
        <f t="shared" si="2"/>
        <v>-3.7867513501905758E-3</v>
      </c>
    </row>
    <row r="40" spans="1:11" x14ac:dyDescent="0.3">
      <c r="A40" s="1">
        <v>45349</v>
      </c>
      <c r="B40">
        <v>181.97155761718699</v>
      </c>
      <c r="C40">
        <v>138.37837219238199</v>
      </c>
      <c r="D40" s="2">
        <f t="shared" si="0"/>
        <v>8.114323797612899E-3</v>
      </c>
      <c r="E40" s="2">
        <f t="shared" si="1"/>
        <v>9.5224175109505094E-3</v>
      </c>
      <c r="F40" s="2">
        <f t="shared" si="3"/>
        <v>-1.4958794613700754E-2</v>
      </c>
      <c r="G40" s="2">
        <f t="shared" si="4"/>
        <v>5.1386537642581498E-3</v>
      </c>
      <c r="J40">
        <v>5078.18017578125</v>
      </c>
      <c r="K40" s="2">
        <f t="shared" si="2"/>
        <v>1.7063496993998672E-3</v>
      </c>
    </row>
    <row r="41" spans="1:11" x14ac:dyDescent="0.3">
      <c r="A41" s="1">
        <v>45350</v>
      </c>
      <c r="B41">
        <v>180.76591491699199</v>
      </c>
      <c r="C41">
        <v>135.88740539550699</v>
      </c>
      <c r="D41" s="2">
        <f t="shared" si="0"/>
        <v>-6.6254458442968067E-3</v>
      </c>
      <c r="E41" s="2">
        <f t="shared" si="1"/>
        <v>-1.8001128047755222E-2</v>
      </c>
      <c r="F41" s="2">
        <f t="shared" si="3"/>
        <v>-2.1485131774388488E-2</v>
      </c>
      <c r="G41" s="2">
        <f t="shared" si="4"/>
        <v>-1.2954975847900507E-2</v>
      </c>
      <c r="J41">
        <v>5069.759765625</v>
      </c>
      <c r="K41" s="2">
        <f t="shared" si="2"/>
        <v>-1.6581550604305439E-3</v>
      </c>
    </row>
    <row r="42" spans="1:11" x14ac:dyDescent="0.3">
      <c r="A42" s="1">
        <v>45351</v>
      </c>
      <c r="B42">
        <v>180.09832763671801</v>
      </c>
      <c r="C42">
        <v>137.95989990234301</v>
      </c>
      <c r="D42" s="2">
        <f t="shared" si="0"/>
        <v>-3.6931037611849238E-3</v>
      </c>
      <c r="E42" s="2">
        <f t="shared" si="1"/>
        <v>1.525155698428371E-2</v>
      </c>
      <c r="F42" s="2">
        <f t="shared" si="3"/>
        <v>-2.5098888714607859E-2</v>
      </c>
      <c r="G42" s="2">
        <f t="shared" si="4"/>
        <v>2.0989975840088881E-3</v>
      </c>
      <c r="J42">
        <v>5096.27001953125</v>
      </c>
      <c r="K42" s="2">
        <f t="shared" si="2"/>
        <v>5.2290946971491614E-3</v>
      </c>
    </row>
    <row r="43" spans="1:11" x14ac:dyDescent="0.3">
      <c r="A43" s="1">
        <v>45352</v>
      </c>
      <c r="B43">
        <v>179.01226806640599</v>
      </c>
      <c r="C43">
        <v>136.64465332031199</v>
      </c>
      <c r="D43" s="2">
        <f t="shared" si="0"/>
        <v>-6.0303701015077538E-3</v>
      </c>
      <c r="E43" s="2">
        <f t="shared" si="1"/>
        <v>-9.5335425943483543E-3</v>
      </c>
      <c r="F43" s="2">
        <f t="shared" si="3"/>
        <v>-3.0977903228029957E-2</v>
      </c>
      <c r="G43" s="2">
        <f t="shared" si="4"/>
        <v>-7.4545558932120892E-3</v>
      </c>
      <c r="J43">
        <v>5137.080078125</v>
      </c>
      <c r="K43" s="2">
        <f t="shared" si="2"/>
        <v>8.0078289488876297E-3</v>
      </c>
    </row>
    <row r="44" spans="1:11" x14ac:dyDescent="0.3">
      <c r="A44" s="1">
        <v>45355</v>
      </c>
      <c r="B44">
        <v>174.46870422363199</v>
      </c>
      <c r="C44">
        <v>132.86834716796801</v>
      </c>
      <c r="D44" s="2">
        <f t="shared" si="0"/>
        <v>-2.5381298677744968E-2</v>
      </c>
      <c r="E44" s="2">
        <f t="shared" si="1"/>
        <v>-2.7635959846096902E-2</v>
      </c>
      <c r="F44" s="2">
        <f t="shared" si="3"/>
        <v>-5.5572942491533994E-2</v>
      </c>
      <c r="G44" s="2">
        <f t="shared" si="4"/>
        <v>-3.4884501931973677E-2</v>
      </c>
      <c r="J44">
        <v>5130.9501953125</v>
      </c>
      <c r="K44" s="2">
        <f t="shared" si="2"/>
        <v>-1.1932620709189656E-3</v>
      </c>
    </row>
    <row r="45" spans="1:11" x14ac:dyDescent="0.3">
      <c r="A45" s="1">
        <v>45356</v>
      </c>
      <c r="B45">
        <v>169.50665283203099</v>
      </c>
      <c r="C45">
        <v>132.19079589843699</v>
      </c>
      <c r="D45" s="2">
        <f t="shared" si="0"/>
        <v>-2.844092534349707E-2</v>
      </c>
      <c r="E45" s="2">
        <f t="shared" si="1"/>
        <v>-5.0994182133874411E-3</v>
      </c>
      <c r="F45" s="2">
        <f t="shared" si="3"/>
        <v>-8.2433321926510872E-2</v>
      </c>
      <c r="G45" s="2">
        <f t="shared" si="4"/>
        <v>-3.9806029480844218E-2</v>
      </c>
      <c r="J45">
        <v>5078.64990234375</v>
      </c>
      <c r="K45" s="2">
        <f t="shared" si="2"/>
        <v>-1.0193100883444606E-2</v>
      </c>
    </row>
    <row r="46" spans="1:11" x14ac:dyDescent="0.3">
      <c r="A46" s="1">
        <v>45357</v>
      </c>
      <c r="B46">
        <v>168.51026916503901</v>
      </c>
      <c r="C46">
        <v>130.925369262695</v>
      </c>
      <c r="D46" s="2">
        <f t="shared" si="0"/>
        <v>-5.8781390013011858E-3</v>
      </c>
      <c r="E46" s="2">
        <f t="shared" si="1"/>
        <v>-9.5727287754150403E-3</v>
      </c>
      <c r="F46" s="2">
        <f t="shared" si="3"/>
        <v>-8.782690640318902E-2</v>
      </c>
      <c r="G46" s="2">
        <f t="shared" si="4"/>
        <v>-4.8997705932412927E-2</v>
      </c>
      <c r="J46">
        <v>5104.759765625</v>
      </c>
      <c r="K46" s="2">
        <f t="shared" si="2"/>
        <v>5.1411032032746551E-3</v>
      </c>
    </row>
    <row r="47" spans="1:11" x14ac:dyDescent="0.3">
      <c r="A47" s="1">
        <v>45358</v>
      </c>
      <c r="B47">
        <v>168.390701293945</v>
      </c>
      <c r="C47">
        <v>133.89462280273401</v>
      </c>
      <c r="D47" s="2">
        <f t="shared" si="0"/>
        <v>-7.0955836511599202E-4</v>
      </c>
      <c r="E47" s="2">
        <f t="shared" si="1"/>
        <v>2.2678977777647935E-2</v>
      </c>
      <c r="F47" s="2">
        <f t="shared" si="3"/>
        <v>-8.8474146452184321E-2</v>
      </c>
      <c r="G47" s="2">
        <f t="shared" si="4"/>
        <v>-2.7429946038761921E-2</v>
      </c>
      <c r="J47">
        <v>5157.35986328125</v>
      </c>
      <c r="K47" s="2">
        <f t="shared" si="2"/>
        <v>1.0304127925951478E-2</v>
      </c>
    </row>
    <row r="48" spans="1:11" x14ac:dyDescent="0.3">
      <c r="A48" s="1">
        <v>45359</v>
      </c>
      <c r="B48">
        <v>170.11445617675699</v>
      </c>
      <c r="C48">
        <v>134.9208984375</v>
      </c>
      <c r="D48" s="2">
        <f t="shared" si="0"/>
        <v>1.0236639372402045E-2</v>
      </c>
      <c r="E48" s="2">
        <f t="shared" si="1"/>
        <v>7.6648009702227071E-3</v>
      </c>
      <c r="F48" s="2">
        <f t="shared" si="3"/>
        <v>-7.9143185010794426E-2</v>
      </c>
      <c r="G48" s="2">
        <f t="shared" si="4"/>
        <v>-1.9975390145550276E-2</v>
      </c>
      <c r="J48">
        <v>5123.68994140625</v>
      </c>
      <c r="K48" s="2">
        <f t="shared" si="2"/>
        <v>-6.5285190034379825E-3</v>
      </c>
    </row>
    <row r="49" spans="1:11" x14ac:dyDescent="0.3">
      <c r="A49" s="1">
        <v>45362</v>
      </c>
      <c r="B49">
        <v>172.127182006835</v>
      </c>
      <c r="C49">
        <v>137.17274475097599</v>
      </c>
      <c r="D49" s="2">
        <f t="shared" si="0"/>
        <v>1.1831597827210549E-2</v>
      </c>
      <c r="E49" s="2">
        <f t="shared" si="1"/>
        <v>1.6690122431397336E-2</v>
      </c>
      <c r="F49" s="2">
        <f t="shared" si="3"/>
        <v>-6.8247977519396152E-2</v>
      </c>
      <c r="G49" s="2">
        <f t="shared" si="4"/>
        <v>-3.6186594212971324E-3</v>
      </c>
      <c r="J49">
        <v>5117.93994140625</v>
      </c>
      <c r="K49" s="2">
        <f t="shared" si="2"/>
        <v>-1.122238087346461E-3</v>
      </c>
    </row>
    <row r="50" spans="1:11" x14ac:dyDescent="0.3">
      <c r="A50" s="1">
        <v>45363</v>
      </c>
      <c r="B50">
        <v>172.60543823242099</v>
      </c>
      <c r="C50">
        <v>137.999740600585</v>
      </c>
      <c r="D50" s="2">
        <f t="shared" si="0"/>
        <v>2.7785049404167594E-3</v>
      </c>
      <c r="E50" s="2">
        <f t="shared" si="1"/>
        <v>6.0288641968222478E-3</v>
      </c>
      <c r="F50" s="2">
        <f t="shared" si="3"/>
        <v>-6.56590999216905E-2</v>
      </c>
      <c r="G50" s="2">
        <f t="shared" si="4"/>
        <v>2.3883883692996655E-3</v>
      </c>
      <c r="J50">
        <v>5175.27001953125</v>
      </c>
      <c r="K50" s="2">
        <f t="shared" si="2"/>
        <v>1.1201787981366396E-2</v>
      </c>
    </row>
    <row r="51" spans="1:11" x14ac:dyDescent="0.3">
      <c r="A51" s="1">
        <v>45364</v>
      </c>
      <c r="B51">
        <v>170.51303100585901</v>
      </c>
      <c r="C51">
        <v>139.285064697265</v>
      </c>
      <c r="D51" s="2">
        <f t="shared" si="0"/>
        <v>-1.2122487263376169E-2</v>
      </c>
      <c r="E51" s="2">
        <f t="shared" si="1"/>
        <v>9.313960237071317E-3</v>
      </c>
      <c r="F51" s="2">
        <f t="shared" si="3"/>
        <v>-7.6985635582541234E-2</v>
      </c>
      <c r="G51" s="2">
        <f t="shared" si="4"/>
        <v>1.172459396067338E-2</v>
      </c>
      <c r="J51">
        <v>5165.31005859375</v>
      </c>
      <c r="K51" s="2">
        <f t="shared" si="2"/>
        <v>-1.9245297153407392E-3</v>
      </c>
    </row>
    <row r="52" spans="1:11" x14ac:dyDescent="0.3">
      <c r="A52" s="1">
        <v>45365</v>
      </c>
      <c r="B52">
        <v>172.37628173828099</v>
      </c>
      <c r="C52">
        <v>142.58312988281199</v>
      </c>
      <c r="D52" s="2">
        <f t="shared" si="0"/>
        <v>1.0927321633019238E-2</v>
      </c>
      <c r="E52" s="2">
        <f t="shared" si="1"/>
        <v>2.3678527146577366E-2</v>
      </c>
      <c r="F52" s="2">
        <f t="shared" si="3"/>
        <v>-6.6899560750654841E-2</v>
      </c>
      <c r="G52" s="2">
        <f t="shared" si="4"/>
        <v>3.5680742223631157E-2</v>
      </c>
      <c r="J52">
        <v>5150.47998046875</v>
      </c>
      <c r="K52" s="2">
        <f t="shared" si="2"/>
        <v>-2.8710915621273925E-3</v>
      </c>
    </row>
    <row r="53" spans="1:11" x14ac:dyDescent="0.3">
      <c r="A53" s="1">
        <v>45366</v>
      </c>
      <c r="B53">
        <v>171.99765014648401</v>
      </c>
      <c r="C53">
        <v>140.67004394531199</v>
      </c>
      <c r="D53" s="2">
        <f t="shared" si="0"/>
        <v>-2.1965411249087463E-3</v>
      </c>
      <c r="E53" s="2">
        <f t="shared" si="1"/>
        <v>-1.3417337233881388E-2</v>
      </c>
      <c r="F53" s="2">
        <f t="shared" si="3"/>
        <v>-6.894915423913639E-2</v>
      </c>
      <c r="G53" s="2">
        <f t="shared" si="4"/>
        <v>2.1784664438580181E-2</v>
      </c>
      <c r="J53">
        <v>5117.08984375</v>
      </c>
      <c r="K53" s="2">
        <f t="shared" si="2"/>
        <v>-6.4829174844615034E-3</v>
      </c>
    </row>
    <row r="54" spans="1:11" x14ac:dyDescent="0.3">
      <c r="A54" s="1">
        <v>45369</v>
      </c>
      <c r="B54">
        <v>173.09367370605401</v>
      </c>
      <c r="C54">
        <v>147.14659118652301</v>
      </c>
      <c r="D54" s="2">
        <f t="shared" si="0"/>
        <v>6.3723170557072883E-3</v>
      </c>
      <c r="E54" s="2">
        <f t="shared" si="1"/>
        <v>4.6040699637009297E-2</v>
      </c>
      <c r="F54" s="2">
        <f t="shared" si="3"/>
        <v>-6.3016203054963693E-2</v>
      </c>
      <c r="G54" s="2">
        <f t="shared" si="4"/>
        <v>6.8828345267699209E-2</v>
      </c>
      <c r="J54">
        <v>5149.419921875</v>
      </c>
      <c r="K54" s="2">
        <f t="shared" si="2"/>
        <v>6.3180595049523447E-3</v>
      </c>
    </row>
    <row r="55" spans="1:11" x14ac:dyDescent="0.3">
      <c r="A55" s="1">
        <v>45370</v>
      </c>
      <c r="B55">
        <v>175.44519042968699</v>
      </c>
      <c r="C55">
        <v>146.49891662597599</v>
      </c>
      <c r="D55" s="2">
        <f t="shared" si="0"/>
        <v>1.358522627248826E-2</v>
      </c>
      <c r="E55" s="2">
        <f t="shared" si="1"/>
        <v>-4.4015600723364967E-3</v>
      </c>
      <c r="F55" s="2">
        <f t="shared" si="3"/>
        <v>-5.0287066159810156E-2</v>
      </c>
      <c r="G55" s="2">
        <f t="shared" si="4"/>
        <v>6.4123833098987504E-2</v>
      </c>
      <c r="J55">
        <v>5178.509765625</v>
      </c>
      <c r="K55" s="2">
        <f t="shared" si="2"/>
        <v>5.6491496501236416E-3</v>
      </c>
    </row>
    <row r="56" spans="1:11" x14ac:dyDescent="0.3">
      <c r="A56" s="1">
        <v>45371</v>
      </c>
      <c r="B56">
        <v>178.02583312988199</v>
      </c>
      <c r="C56">
        <v>148.20275878906199</v>
      </c>
      <c r="D56" s="2">
        <f t="shared" si="0"/>
        <v>1.4709110542584281E-2</v>
      </c>
      <c r="E56" s="2">
        <f t="shared" si="1"/>
        <v>1.1630407939712262E-2</v>
      </c>
      <c r="F56" s="2">
        <f t="shared" si="3"/>
        <v>-3.6317633632232726E-2</v>
      </c>
      <c r="G56" s="2">
        <f t="shared" si="4"/>
        <v>7.6500027376299018E-2</v>
      </c>
      <c r="J56">
        <v>5224.6201171875</v>
      </c>
      <c r="K56" s="2">
        <f t="shared" si="2"/>
        <v>8.9041739128465913E-3</v>
      </c>
    </row>
    <row r="57" spans="1:11" x14ac:dyDescent="0.3">
      <c r="A57" s="1">
        <v>45372</v>
      </c>
      <c r="B57">
        <v>170.75213623046801</v>
      </c>
      <c r="C57">
        <v>147.06689453125</v>
      </c>
      <c r="D57" s="2">
        <f t="shared" si="0"/>
        <v>-4.0857536075156631E-2</v>
      </c>
      <c r="E57" s="2">
        <f t="shared" si="1"/>
        <v>-7.6642585272563846E-3</v>
      </c>
      <c r="F57" s="2">
        <f t="shared" si="3"/>
        <v>-7.5691320681096075E-2</v>
      </c>
      <c r="G57" s="2">
        <f t="shared" si="4"/>
        <v>6.8249452861888438E-2</v>
      </c>
      <c r="J57">
        <v>5241.52978515625</v>
      </c>
      <c r="K57" s="2">
        <f t="shared" si="2"/>
        <v>3.2365354015160275E-3</v>
      </c>
    </row>
    <row r="58" spans="1:11" x14ac:dyDescent="0.3">
      <c r="A58" s="1">
        <v>45373</v>
      </c>
      <c r="B58">
        <v>171.65885925292901</v>
      </c>
      <c r="C58">
        <v>150.22543334960901</v>
      </c>
      <c r="D58" s="2">
        <f t="shared" si="0"/>
        <v>5.3101708855762819E-3</v>
      </c>
      <c r="E58" s="2">
        <f t="shared" si="1"/>
        <v>2.1476885252974753E-2</v>
      </c>
      <c r="F58" s="2">
        <f t="shared" si="3"/>
        <v>-7.078308364289132E-2</v>
      </c>
      <c r="G58" s="2">
        <f t="shared" si="4"/>
        <v>9.1192123782556367E-2</v>
      </c>
      <c r="J58">
        <v>5234.18017578125</v>
      </c>
      <c r="K58" s="2">
        <f t="shared" si="2"/>
        <v>-1.4021878490156903E-3</v>
      </c>
    </row>
    <row r="59" spans="1:11" x14ac:dyDescent="0.3">
      <c r="A59" s="1">
        <v>45376</v>
      </c>
      <c r="B59">
        <v>170.23403930664</v>
      </c>
      <c r="C59">
        <v>149.52795410156199</v>
      </c>
      <c r="D59" s="2">
        <f t="shared" si="0"/>
        <v>-8.3002995155037063E-3</v>
      </c>
      <c r="E59" s="2">
        <f t="shared" si="1"/>
        <v>-4.6428839144955214E-3</v>
      </c>
      <c r="F59" s="2">
        <f t="shared" si="3"/>
        <v>-7.8495862363528124E-2</v>
      </c>
      <c r="G59" s="2">
        <f t="shared" si="4"/>
        <v>8.6125845423422165E-2</v>
      </c>
      <c r="J59">
        <v>5218.18994140625</v>
      </c>
      <c r="K59" s="2">
        <f t="shared" si="2"/>
        <v>-3.0549644525015296E-3</v>
      </c>
    </row>
    <row r="60" spans="1:11" x14ac:dyDescent="0.3">
      <c r="A60" s="1">
        <v>45377</v>
      </c>
      <c r="B60">
        <v>169.09814453125</v>
      </c>
      <c r="C60">
        <v>150.12577819824199</v>
      </c>
      <c r="D60" s="2">
        <f t="shared" si="0"/>
        <v>-6.6725478642020164E-3</v>
      </c>
      <c r="E60" s="2">
        <f t="shared" si="1"/>
        <v>3.9980758131281657E-3</v>
      </c>
      <c r="F60" s="2">
        <f t="shared" si="3"/>
        <v>-8.4644642828967664E-2</v>
      </c>
      <c r="G60" s="2">
        <f t="shared" si="4"/>
        <v>9.0468258896022835E-2</v>
      </c>
      <c r="J60">
        <v>5203.580078125</v>
      </c>
      <c r="K60" s="2">
        <f t="shared" si="2"/>
        <v>-2.799795225030266E-3</v>
      </c>
    </row>
    <row r="61" spans="1:11" x14ac:dyDescent="0.3">
      <c r="A61" s="1">
        <v>45378</v>
      </c>
      <c r="B61">
        <v>172.68515014648401</v>
      </c>
      <c r="C61">
        <v>150.32504272460901</v>
      </c>
      <c r="D61" s="2">
        <f t="shared" si="0"/>
        <v>2.1212566377812214E-2</v>
      </c>
      <c r="E61" s="2">
        <f t="shared" si="1"/>
        <v>1.3273171920140658E-3</v>
      </c>
      <c r="F61" s="2">
        <f t="shared" si="3"/>
        <v>-6.5227606555691153E-2</v>
      </c>
      <c r="G61" s="2">
        <f t="shared" si="4"/>
        <v>9.1915656163401138E-2</v>
      </c>
      <c r="J61">
        <v>5248.490234375</v>
      </c>
      <c r="K61" s="2">
        <f t="shared" si="2"/>
        <v>8.6306265255329251E-3</v>
      </c>
    </row>
    <row r="62" spans="1:11" x14ac:dyDescent="0.3">
      <c r="A62" s="1">
        <v>45379</v>
      </c>
      <c r="B62">
        <v>170.86174011230401</v>
      </c>
      <c r="C62">
        <v>150.384841918945</v>
      </c>
      <c r="D62" s="2">
        <f t="shared" si="0"/>
        <v>-1.055915944499719E-2</v>
      </c>
      <c r="E62" s="2">
        <f t="shared" si="1"/>
        <v>3.9779928381955543E-4</v>
      </c>
      <c r="F62" s="2">
        <f t="shared" si="3"/>
        <v>-7.5098017302851261E-2</v>
      </c>
      <c r="G62" s="2">
        <f t="shared" si="4"/>
        <v>9.2350019429414232E-2</v>
      </c>
      <c r="J62">
        <v>5254.35009765625</v>
      </c>
      <c r="K62" s="2">
        <f t="shared" si="2"/>
        <v>1.1164855071790214E-3</v>
      </c>
    </row>
    <row r="63" spans="1:11" x14ac:dyDescent="0.3">
      <c r="A63" s="1">
        <v>45383</v>
      </c>
      <c r="B63">
        <v>169.4169921875</v>
      </c>
      <c r="C63">
        <v>154.92839050292901</v>
      </c>
      <c r="D63" s="2">
        <f t="shared" si="0"/>
        <v>-8.4556549866248165E-3</v>
      </c>
      <c r="E63" s="2">
        <f t="shared" si="1"/>
        <v>3.0212809522603967E-2</v>
      </c>
      <c r="F63" s="2">
        <f t="shared" si="3"/>
        <v>-8.2918669364983599E-2</v>
      </c>
      <c r="G63" s="2">
        <f t="shared" si="4"/>
        <v>0.12535298249844784</v>
      </c>
      <c r="J63">
        <v>5243.77001953125</v>
      </c>
      <c r="K63" s="2">
        <f t="shared" si="2"/>
        <v>-2.0135845401164643E-3</v>
      </c>
    </row>
    <row r="64" spans="1:11" x14ac:dyDescent="0.3">
      <c r="A64" s="1">
        <v>45384</v>
      </c>
      <c r="B64">
        <v>168.23126220703099</v>
      </c>
      <c r="C64">
        <v>154.00172424316401</v>
      </c>
      <c r="D64" s="2">
        <f t="shared" si="0"/>
        <v>-6.9988846169380947E-3</v>
      </c>
      <c r="E64" s="2">
        <f t="shared" si="1"/>
        <v>-5.981255319033818E-3</v>
      </c>
      <c r="F64" s="2">
        <f t="shared" si="3"/>
        <v>-8.9337215782446133E-2</v>
      </c>
      <c r="G64" s="2">
        <f t="shared" si="4"/>
        <v>0.1186219589860884</v>
      </c>
      <c r="J64">
        <v>5205.81005859375</v>
      </c>
      <c r="K64" s="2">
        <f t="shared" si="2"/>
        <v>-7.2390590731691296E-3</v>
      </c>
    </row>
    <row r="65" spans="1:11" x14ac:dyDescent="0.3">
      <c r="A65" s="1">
        <v>45385</v>
      </c>
      <c r="B65">
        <v>169.03836059570301</v>
      </c>
      <c r="C65">
        <v>154.36041259765599</v>
      </c>
      <c r="D65" s="2">
        <f t="shared" si="0"/>
        <v>4.7975529523089921E-3</v>
      </c>
      <c r="E65" s="2">
        <f t="shared" si="1"/>
        <v>2.3291190813268248E-3</v>
      </c>
      <c r="F65" s="2">
        <f t="shared" si="3"/>
        <v>-8.496826285346526E-2</v>
      </c>
      <c r="G65" s="2">
        <f t="shared" si="4"/>
        <v>0.12122736273555401</v>
      </c>
      <c r="J65">
        <v>5211.490234375</v>
      </c>
      <c r="K65" s="2">
        <f t="shared" si="2"/>
        <v>1.091122364688113E-3</v>
      </c>
    </row>
    <row r="66" spans="1:11" x14ac:dyDescent="0.3">
      <c r="A66" s="1">
        <v>45386</v>
      </c>
      <c r="B66">
        <v>168.21136474609301</v>
      </c>
      <c r="C66">
        <v>149.98629760742099</v>
      </c>
      <c r="D66" s="2">
        <f t="shared" si="0"/>
        <v>-4.892356070513304E-3</v>
      </c>
      <c r="E66" s="2">
        <f t="shared" si="1"/>
        <v>-2.8337025773805258E-2</v>
      </c>
      <c r="F66" s="2">
        <f t="shared" si="3"/>
        <v>-8.9444923927406439E-2</v>
      </c>
      <c r="G66" s="2">
        <f t="shared" si="4"/>
        <v>8.9455114059420859E-2</v>
      </c>
      <c r="J66">
        <v>5147.2099609375</v>
      </c>
      <c r="K66" s="2">
        <f t="shared" si="2"/>
        <v>-1.2334336350379616E-2</v>
      </c>
    </row>
    <row r="67" spans="1:11" x14ac:dyDescent="0.3">
      <c r="A67" s="1">
        <v>45387</v>
      </c>
      <c r="B67">
        <v>168.96861267089801</v>
      </c>
      <c r="C67">
        <v>151.94917297363199</v>
      </c>
      <c r="D67" s="2">
        <f t="shared" si="0"/>
        <v>4.5017643483722392E-3</v>
      </c>
      <c r="E67" s="2">
        <f t="shared" si="1"/>
        <v>1.3087031265673899E-2</v>
      </c>
      <c r="F67" s="2">
        <f t="shared" si="3"/>
        <v>-8.5345819548713453E-2</v>
      </c>
      <c r="G67" s="2">
        <f t="shared" si="4"/>
        <v>0.10371284719966489</v>
      </c>
      <c r="J67">
        <v>5204.33984375</v>
      </c>
      <c r="K67" s="2">
        <f t="shared" si="2"/>
        <v>1.1099194174331695E-2</v>
      </c>
    </row>
    <row r="68" spans="1:11" x14ac:dyDescent="0.3">
      <c r="A68" s="1">
        <v>45390</v>
      </c>
      <c r="B68">
        <v>167.842681884765</v>
      </c>
      <c r="C68">
        <v>154.29069519042901</v>
      </c>
      <c r="D68" s="2">
        <f t="shared" ref="D68:D131" si="5">B68/B67-1</f>
        <v>-6.6635499240678131E-3</v>
      </c>
      <c r="E68" s="2">
        <f t="shared" ref="E68:E131" si="6">C68/C67-1</f>
        <v>1.5409904318487877E-2</v>
      </c>
      <c r="F68" s="2">
        <f t="shared" si="3"/>
        <v>-9.1440663343407946E-2</v>
      </c>
      <c r="G68" s="2">
        <f t="shared" si="4"/>
        <v>0.12072095657009752</v>
      </c>
      <c r="J68">
        <v>5202.39013671875</v>
      </c>
      <c r="K68" s="2">
        <f t="shared" ref="K68:K131" si="7">J68/J67-1</f>
        <v>-3.7463099831791524E-4</v>
      </c>
    </row>
    <row r="69" spans="1:11" x14ac:dyDescent="0.3">
      <c r="A69" s="1">
        <v>45391</v>
      </c>
      <c r="B69">
        <v>169.05827331542901</v>
      </c>
      <c r="C69">
        <v>156.03436279296801</v>
      </c>
      <c r="D69" s="2">
        <f t="shared" si="5"/>
        <v>7.242445229149741E-3</v>
      </c>
      <c r="E69" s="2">
        <f t="shared" si="6"/>
        <v>1.1301184432327194E-2</v>
      </c>
      <c r="F69" s="2">
        <f t="shared" si="3"/>
        <v>-8.4860472110239948E-2</v>
      </c>
      <c r="G69" s="2">
        <f t="shared" si="4"/>
        <v>0.13338643079747037</v>
      </c>
      <c r="J69">
        <v>5209.91015625</v>
      </c>
      <c r="K69" s="2">
        <f t="shared" si="7"/>
        <v>1.4454931932483817E-3</v>
      </c>
    </row>
    <row r="70" spans="1:11" x14ac:dyDescent="0.3">
      <c r="A70" s="1">
        <v>45392</v>
      </c>
      <c r="B70">
        <v>167.17507934570301</v>
      </c>
      <c r="C70">
        <v>155.57603454589801</v>
      </c>
      <c r="D70" s="2">
        <f t="shared" si="5"/>
        <v>-1.1139318607687021E-2</v>
      </c>
      <c r="E70" s="2">
        <f t="shared" si="6"/>
        <v>-2.9373545600216433E-3</v>
      </c>
      <c r="F70" s="2">
        <f t="shared" ref="F70:F133" si="8">(1+D70)*(1+F69)-1</f>
        <v>-9.5054502881892322E-2</v>
      </c>
      <c r="G70" s="2">
        <f t="shared" ref="G70:G133" si="9">(1+E70)*(1+G69)-1</f>
        <v>0.13005727299670067</v>
      </c>
      <c r="J70">
        <v>5160.64013671875</v>
      </c>
      <c r="K70" s="2">
        <f t="shared" si="7"/>
        <v>-9.4569806491084929E-3</v>
      </c>
    </row>
    <row r="71" spans="1:11" x14ac:dyDescent="0.3">
      <c r="A71" s="1">
        <v>45393</v>
      </c>
      <c r="B71">
        <v>174.408920288085</v>
      </c>
      <c r="C71">
        <v>158.834213256835</v>
      </c>
      <c r="D71" s="2">
        <f t="shared" si="5"/>
        <v>4.3271048356573916E-2</v>
      </c>
      <c r="E71" s="2">
        <f t="shared" si="6"/>
        <v>2.0942677453163583E-2</v>
      </c>
      <c r="F71" s="2">
        <f t="shared" si="8"/>
        <v>-5.5896562516030812E-2</v>
      </c>
      <c r="G71" s="2">
        <f t="shared" si="9"/>
        <v>0.15372369796867225</v>
      </c>
      <c r="J71">
        <v>5199.06005859375</v>
      </c>
      <c r="K71" s="2">
        <f t="shared" si="7"/>
        <v>7.4447977105855934E-3</v>
      </c>
    </row>
    <row r="72" spans="1:11" x14ac:dyDescent="0.3">
      <c r="A72" s="1">
        <v>45394</v>
      </c>
      <c r="B72">
        <v>175.913482666015</v>
      </c>
      <c r="C72">
        <v>157.16027832031199</v>
      </c>
      <c r="D72" s="2">
        <f t="shared" si="5"/>
        <v>8.6266366160905328E-3</v>
      </c>
      <c r="E72" s="2">
        <f t="shared" si="6"/>
        <v>-1.0538881404702494E-2</v>
      </c>
      <c r="F72" s="2">
        <f t="shared" si="8"/>
        <v>-4.7752125232854659E-2</v>
      </c>
      <c r="G72" s="2">
        <f t="shared" si="9"/>
        <v>0.14156474074198555</v>
      </c>
      <c r="J72">
        <v>5123.41015625</v>
      </c>
      <c r="K72" s="2">
        <f t="shared" si="7"/>
        <v>-1.4550688295801639E-2</v>
      </c>
    </row>
    <row r="73" spans="1:11" x14ac:dyDescent="0.3">
      <c r="A73" s="1">
        <v>45397</v>
      </c>
      <c r="B73">
        <v>172.0673828125</v>
      </c>
      <c r="C73">
        <v>154.30065917968699</v>
      </c>
      <c r="D73" s="2">
        <f t="shared" si="5"/>
        <v>-2.1863587686551056E-2</v>
      </c>
      <c r="E73" s="2">
        <f t="shared" si="6"/>
        <v>-1.819555915265525E-2</v>
      </c>
      <c r="F73" s="2">
        <f t="shared" si="8"/>
        <v>-6.8571680142157976E-2</v>
      </c>
      <c r="G73" s="2">
        <f t="shared" si="9"/>
        <v>0.12079333197522923</v>
      </c>
      <c r="J73">
        <v>5061.81982421875</v>
      </c>
      <c r="K73" s="2">
        <f t="shared" si="7"/>
        <v>-1.202135494776202E-2</v>
      </c>
    </row>
    <row r="74" spans="1:11" x14ac:dyDescent="0.3">
      <c r="A74" s="1">
        <v>45398</v>
      </c>
      <c r="B74">
        <v>168.76933288574199</v>
      </c>
      <c r="C74">
        <v>153.84228515625</v>
      </c>
      <c r="D74" s="2">
        <f t="shared" si="5"/>
        <v>-1.9167199923949885E-2</v>
      </c>
      <c r="E74" s="2">
        <f t="shared" si="6"/>
        <v>-2.9706549918442349E-3</v>
      </c>
      <c r="F74" s="2">
        <f t="shared" si="8"/>
        <v>-8.6424552963701995E-2</v>
      </c>
      <c r="G74" s="2">
        <f t="shared" si="9"/>
        <v>0.11746384166877122</v>
      </c>
      <c r="J74">
        <v>5051.41015625</v>
      </c>
      <c r="K74" s="2">
        <f t="shared" si="7"/>
        <v>-2.0565070133361507E-3</v>
      </c>
    </row>
    <row r="75" spans="1:11" x14ac:dyDescent="0.3">
      <c r="A75" s="1">
        <v>45399</v>
      </c>
      <c r="B75">
        <v>167.39430236816401</v>
      </c>
      <c r="C75">
        <v>154.908447265625</v>
      </c>
      <c r="D75" s="2">
        <f t="shared" si="5"/>
        <v>-8.1473955846521617E-3</v>
      </c>
      <c r="E75" s="2">
        <f t="shared" si="6"/>
        <v>6.9302279818070911E-3</v>
      </c>
      <c r="F75" s="2">
        <f t="shared" si="8"/>
        <v>-9.3867813527132138E-2</v>
      </c>
      <c r="G75" s="2">
        <f t="shared" si="9"/>
        <v>0.12520812085296185</v>
      </c>
      <c r="J75">
        <v>5022.2099609375</v>
      </c>
      <c r="K75" s="2">
        <f t="shared" si="7"/>
        <v>-5.780602724641426E-3</v>
      </c>
    </row>
    <row r="76" spans="1:11" x14ac:dyDescent="0.3">
      <c r="A76" s="1">
        <v>45400</v>
      </c>
      <c r="B76">
        <v>166.437744140625</v>
      </c>
      <c r="C76">
        <v>155.44650268554599</v>
      </c>
      <c r="D76" s="2">
        <f t="shared" si="5"/>
        <v>-5.7144013506216229E-3</v>
      </c>
      <c r="E76" s="2">
        <f t="shared" si="6"/>
        <v>3.4733768843371315E-3</v>
      </c>
      <c r="F76" s="2">
        <f t="shared" si="8"/>
        <v>-9.9045816517354446E-2</v>
      </c>
      <c r="G76" s="2">
        <f t="shared" si="9"/>
        <v>0.12911639273000097</v>
      </c>
      <c r="J76">
        <v>5011.1201171875</v>
      </c>
      <c r="K76" s="2">
        <f t="shared" si="7"/>
        <v>-2.2081601199982481E-3</v>
      </c>
    </row>
    <row r="77" spans="1:11" x14ac:dyDescent="0.3">
      <c r="A77" s="1">
        <v>45401</v>
      </c>
      <c r="B77">
        <v>164.40512084960901</v>
      </c>
      <c r="C77">
        <v>153.533432006835</v>
      </c>
      <c r="D77" s="2">
        <f t="shared" si="5"/>
        <v>-1.2212514063508428E-2</v>
      </c>
      <c r="E77" s="2">
        <f t="shared" si="6"/>
        <v>-1.2306939337071832E-2</v>
      </c>
      <c r="F77" s="2">
        <f t="shared" si="8"/>
        <v>-0.11004873215371302</v>
      </c>
      <c r="G77" s="2">
        <f t="shared" si="9"/>
        <v>0.11522042578017944</v>
      </c>
      <c r="J77">
        <v>4967.22998046875</v>
      </c>
      <c r="K77" s="2">
        <f t="shared" si="7"/>
        <v>-8.7585481274361499E-3</v>
      </c>
    </row>
    <row r="78" spans="1:11" x14ac:dyDescent="0.3">
      <c r="A78" s="1">
        <v>45404</v>
      </c>
      <c r="B78">
        <v>165.24208068847599</v>
      </c>
      <c r="C78">
        <v>155.71551513671801</v>
      </c>
      <c r="D78" s="2">
        <f t="shared" si="5"/>
        <v>5.0908380136931441E-3</v>
      </c>
      <c r="E78" s="2">
        <f t="shared" si="6"/>
        <v>1.4212429836036433E-2</v>
      </c>
      <c r="F78" s="2">
        <f t="shared" si="8"/>
        <v>-0.10551813440902669</v>
      </c>
      <c r="G78" s="2">
        <f t="shared" si="9"/>
        <v>0.13107041783329487</v>
      </c>
      <c r="J78">
        <v>5010.60009765625</v>
      </c>
      <c r="K78" s="2">
        <f t="shared" si="7"/>
        <v>8.7312480714667462E-3</v>
      </c>
    </row>
    <row r="79" spans="1:11" x14ac:dyDescent="0.3">
      <c r="A79" s="1">
        <v>45405</v>
      </c>
      <c r="B79">
        <v>166.298248291015</v>
      </c>
      <c r="C79">
        <v>157.68836975097599</v>
      </c>
      <c r="D79" s="2">
        <f t="shared" si="5"/>
        <v>6.391638244559239E-3</v>
      </c>
      <c r="E79" s="2">
        <f t="shared" si="6"/>
        <v>1.2669608500641916E-2</v>
      </c>
      <c r="F79" s="2">
        <f t="shared" si="8"/>
        <v>-9.9800929907850722E-2</v>
      </c>
      <c r="G79" s="2">
        <f t="shared" si="9"/>
        <v>0.14540063721390029</v>
      </c>
      <c r="J79">
        <v>5070.5498046875</v>
      </c>
      <c r="K79" s="2">
        <f t="shared" si="7"/>
        <v>1.1964576270872662E-2</v>
      </c>
    </row>
    <row r="80" spans="1:11" x14ac:dyDescent="0.3">
      <c r="A80" s="1">
        <v>45406</v>
      </c>
      <c r="B80">
        <v>168.41062927246</v>
      </c>
      <c r="C80">
        <v>158.55523681640599</v>
      </c>
      <c r="D80" s="2">
        <f t="shared" si="5"/>
        <v>1.270236459585794E-2</v>
      </c>
      <c r="E80" s="2">
        <f t="shared" si="6"/>
        <v>5.4973430621356734E-3</v>
      </c>
      <c r="F80" s="2">
        <f t="shared" si="8"/>
        <v>-8.8366273110688009E-2</v>
      </c>
      <c r="G80" s="2">
        <f t="shared" si="9"/>
        <v>0.15169729746025395</v>
      </c>
      <c r="J80">
        <v>5071.6298828125</v>
      </c>
      <c r="K80" s="2">
        <f t="shared" si="7"/>
        <v>2.130100613548791E-4</v>
      </c>
    </row>
    <row r="81" spans="1:11" x14ac:dyDescent="0.3">
      <c r="A81" s="1">
        <v>45407</v>
      </c>
      <c r="B81">
        <v>169.27749633789</v>
      </c>
      <c r="C81">
        <v>155.4365234375</v>
      </c>
      <c r="D81" s="2">
        <f t="shared" si="5"/>
        <v>5.147341763253932E-3</v>
      </c>
      <c r="E81" s="2">
        <f t="shared" si="6"/>
        <v>-1.9669570312062401E-2</v>
      </c>
      <c r="F81" s="2">
        <f t="shared" si="8"/>
        <v>-8.3673782755479875E-2</v>
      </c>
      <c r="G81" s="2">
        <f t="shared" si="9"/>
        <v>0.12904390648964714</v>
      </c>
      <c r="J81">
        <v>5048.419921875</v>
      </c>
      <c r="K81" s="2">
        <f t="shared" si="7"/>
        <v>-4.5764303535156259E-3</v>
      </c>
    </row>
    <row r="82" spans="1:11" x14ac:dyDescent="0.3">
      <c r="A82" s="1">
        <v>45408</v>
      </c>
      <c r="B82">
        <v>168.68962097167901</v>
      </c>
      <c r="C82">
        <v>171.32891845703099</v>
      </c>
      <c r="D82" s="2">
        <f t="shared" si="5"/>
        <v>-3.47285007711573E-3</v>
      </c>
      <c r="E82" s="2">
        <f t="shared" si="6"/>
        <v>0.1022436340447439</v>
      </c>
      <c r="F82" s="2">
        <f t="shared" si="8"/>
        <v>-8.6856046329700676E-2</v>
      </c>
      <c r="G82" s="2">
        <f t="shared" si="9"/>
        <v>0.24448145848522262</v>
      </c>
      <c r="J82">
        <v>5099.9599609375</v>
      </c>
      <c r="K82" s="2">
        <f t="shared" si="7"/>
        <v>1.020914263474304E-2</v>
      </c>
    </row>
    <row r="83" spans="1:11" x14ac:dyDescent="0.3">
      <c r="A83" s="1">
        <v>45411</v>
      </c>
      <c r="B83">
        <v>172.87446594238199</v>
      </c>
      <c r="C83">
        <v>165.54986572265599</v>
      </c>
      <c r="D83" s="2">
        <f t="shared" si="5"/>
        <v>2.4807957636027611E-2</v>
      </c>
      <c r="E83" s="2">
        <f t="shared" si="6"/>
        <v>-3.3730748938477495E-2</v>
      </c>
      <c r="F83" s="2">
        <f t="shared" si="8"/>
        <v>-6.4202809811453099E-2</v>
      </c>
      <c r="G83" s="2">
        <f t="shared" si="9"/>
        <v>0.20250416685046724</v>
      </c>
      <c r="J83">
        <v>5116.169921875</v>
      </c>
      <c r="K83" s="2">
        <f t="shared" si="7"/>
        <v>3.1784486665891176E-3</v>
      </c>
    </row>
    <row r="84" spans="1:11" x14ac:dyDescent="0.3">
      <c r="A84" s="1">
        <v>45412</v>
      </c>
      <c r="B84">
        <v>169.715896606445</v>
      </c>
      <c r="C84">
        <v>162.19204711914</v>
      </c>
      <c r="D84" s="2">
        <f t="shared" si="5"/>
        <v>-1.8270884128080089E-2</v>
      </c>
      <c r="E84" s="2">
        <f t="shared" si="6"/>
        <v>-2.0282822875503315E-2</v>
      </c>
      <c r="F84" s="2">
        <f t="shared" si="8"/>
        <v>-8.1300651840770954E-2</v>
      </c>
      <c r="G84" s="2">
        <f t="shared" si="9"/>
        <v>0.17811398782718446</v>
      </c>
      <c r="J84">
        <v>5035.68994140625</v>
      </c>
      <c r="K84" s="2">
        <f t="shared" si="7"/>
        <v>-1.5730513586862171E-2</v>
      </c>
    </row>
    <row r="85" spans="1:11" x14ac:dyDescent="0.3">
      <c r="A85" s="1">
        <v>45413</v>
      </c>
      <c r="B85">
        <v>168.68962097167901</v>
      </c>
      <c r="C85">
        <v>163.268142700195</v>
      </c>
      <c r="D85" s="2">
        <f t="shared" si="5"/>
        <v>-6.0470212589798233E-3</v>
      </c>
      <c r="E85" s="2">
        <f t="shared" si="6"/>
        <v>6.6347000372006804E-3</v>
      </c>
      <c r="F85" s="2">
        <f t="shared" si="8"/>
        <v>-8.6856046329700676E-2</v>
      </c>
      <c r="G85" s="2">
        <f t="shared" si="9"/>
        <v>0.18593042074604815</v>
      </c>
      <c r="J85">
        <v>5018.39013671875</v>
      </c>
      <c r="K85" s="2">
        <f t="shared" si="7"/>
        <v>-3.4354388154940185E-3</v>
      </c>
    </row>
    <row r="86" spans="1:11" x14ac:dyDescent="0.3">
      <c r="A86" s="1">
        <v>45414</v>
      </c>
      <c r="B86">
        <v>172.40617370605401</v>
      </c>
      <c r="C86">
        <v>166.01817321777301</v>
      </c>
      <c r="D86" s="2">
        <f t="shared" si="5"/>
        <v>2.2031899253594167E-2</v>
      </c>
      <c r="E86" s="2">
        <f t="shared" si="6"/>
        <v>1.6843644278037972E-2</v>
      </c>
      <c r="F86" s="2">
        <f t="shared" si="8"/>
        <v>-6.673775073840793E-2</v>
      </c>
      <c r="G86" s="2">
        <f t="shared" si="9"/>
        <v>0.20590581089159854</v>
      </c>
      <c r="J86">
        <v>5064.2001953125</v>
      </c>
      <c r="K86" s="2">
        <f t="shared" si="7"/>
        <v>9.1284370775730483E-3</v>
      </c>
    </row>
    <row r="87" spans="1:11" x14ac:dyDescent="0.3">
      <c r="A87" s="1">
        <v>45415</v>
      </c>
      <c r="B87">
        <v>182.71884155273401</v>
      </c>
      <c r="C87">
        <v>166.63594055175699</v>
      </c>
      <c r="D87" s="2">
        <f t="shared" si="5"/>
        <v>5.9816116934783947E-2</v>
      </c>
      <c r="E87" s="2">
        <f t="shared" si="6"/>
        <v>3.7210825899982591E-3</v>
      </c>
      <c r="F87" s="2">
        <f t="shared" si="8"/>
        <v>-1.0913626905757035E-2</v>
      </c>
      <c r="G87" s="2">
        <f t="shared" si="9"/>
        <v>0.21039308600968498</v>
      </c>
      <c r="J87">
        <v>5127.7900390625</v>
      </c>
      <c r="K87" s="2">
        <f t="shared" si="7"/>
        <v>1.2556739721478527E-2</v>
      </c>
    </row>
    <row r="88" spans="1:11" x14ac:dyDescent="0.3">
      <c r="A88" s="1">
        <v>45418</v>
      </c>
      <c r="B88">
        <v>181.05487060546801</v>
      </c>
      <c r="C88">
        <v>167.49282836914</v>
      </c>
      <c r="D88" s="2">
        <f t="shared" si="5"/>
        <v>-9.1067288579856909E-3</v>
      </c>
      <c r="E88" s="2">
        <f t="shared" si="6"/>
        <v>5.1422749170779714E-3</v>
      </c>
      <c r="F88" s="2">
        <f t="shared" si="8"/>
        <v>-1.9920968322654775E-2</v>
      </c>
      <c r="G88" s="2">
        <f t="shared" si="9"/>
        <v>0.21661726001567727</v>
      </c>
      <c r="J88">
        <v>5180.740234375</v>
      </c>
      <c r="K88" s="2">
        <f t="shared" si="7"/>
        <v>1.0326123907011819E-2</v>
      </c>
    </row>
    <row r="89" spans="1:11" x14ac:dyDescent="0.3">
      <c r="A89" s="1">
        <v>45419</v>
      </c>
      <c r="B89">
        <v>181.74238586425699</v>
      </c>
      <c r="C89">
        <v>170.63143920898401</v>
      </c>
      <c r="D89" s="2">
        <f t="shared" si="5"/>
        <v>3.7972756904569582E-3</v>
      </c>
      <c r="E89" s="2">
        <f t="shared" si="6"/>
        <v>1.8738777477246726E-2</v>
      </c>
      <c r="F89" s="2">
        <f t="shared" si="8"/>
        <v>-1.6199338040939759E-2</v>
      </c>
      <c r="G89" s="2">
        <f t="shared" si="9"/>
        <v>0.23941518012608864</v>
      </c>
      <c r="J89">
        <v>5187.7001953125</v>
      </c>
      <c r="K89" s="2">
        <f t="shared" si="7"/>
        <v>1.3434298232750663E-3</v>
      </c>
    </row>
    <row r="90" spans="1:11" x14ac:dyDescent="0.3">
      <c r="A90" s="1">
        <v>45420</v>
      </c>
      <c r="B90">
        <v>182.08116149902301</v>
      </c>
      <c r="C90">
        <v>168.76820373535099</v>
      </c>
      <c r="D90" s="2">
        <f t="shared" si="5"/>
        <v>1.8640430692873355E-3</v>
      </c>
      <c r="E90" s="2">
        <f t="shared" si="6"/>
        <v>-1.0919649287790323E-2</v>
      </c>
      <c r="F90" s="2">
        <f t="shared" si="8"/>
        <v>-1.4365491235454719E-2</v>
      </c>
      <c r="G90" s="2">
        <f t="shared" si="9"/>
        <v>0.22588120103714826</v>
      </c>
      <c r="J90">
        <v>5187.669921875</v>
      </c>
      <c r="K90" s="2">
        <f t="shared" si="7"/>
        <v>-5.8356181661389783E-6</v>
      </c>
    </row>
    <row r="91" spans="1:11" x14ac:dyDescent="0.3">
      <c r="A91" s="1">
        <v>45421</v>
      </c>
      <c r="B91">
        <v>183.90457153320301</v>
      </c>
      <c r="C91">
        <v>169.34611511230401</v>
      </c>
      <c r="D91" s="2">
        <f t="shared" si="5"/>
        <v>1.0014270664622238E-2</v>
      </c>
      <c r="E91" s="2">
        <f t="shared" si="6"/>
        <v>3.4242906196906286E-3</v>
      </c>
      <c r="F91" s="2">
        <f t="shared" si="8"/>
        <v>-4.4950804882946116E-3</v>
      </c>
      <c r="G91" s="2">
        <f t="shared" si="9"/>
        <v>0.23007897453471493</v>
      </c>
      <c r="J91">
        <v>5214.080078125</v>
      </c>
      <c r="K91" s="2">
        <f t="shared" si="7"/>
        <v>5.0909476986258362E-3</v>
      </c>
    </row>
    <row r="92" spans="1:11" x14ac:dyDescent="0.3">
      <c r="A92" s="1">
        <v>45422</v>
      </c>
      <c r="B92">
        <v>182.63742065429599</v>
      </c>
      <c r="C92">
        <v>168.04083251953099</v>
      </c>
      <c r="D92" s="2">
        <f t="shared" si="5"/>
        <v>-6.8902630768927775E-3</v>
      </c>
      <c r="E92" s="2">
        <f t="shared" si="6"/>
        <v>-7.7077799624006849E-3</v>
      </c>
      <c r="F92" s="2">
        <f t="shared" si="8"/>
        <v>-1.1354371278071262E-2</v>
      </c>
      <c r="G92" s="2">
        <f t="shared" si="9"/>
        <v>0.22059779646262578</v>
      </c>
      <c r="J92">
        <v>5222.68017578125</v>
      </c>
      <c r="K92" s="2">
        <f t="shared" si="7"/>
        <v>1.6493988445498431E-3</v>
      </c>
    </row>
    <row r="93" spans="1:11" x14ac:dyDescent="0.3">
      <c r="A93" s="1">
        <v>45425</v>
      </c>
      <c r="B93">
        <v>185.86015319824199</v>
      </c>
      <c r="C93">
        <v>168.52906799316401</v>
      </c>
      <c r="D93" s="2">
        <f t="shared" si="5"/>
        <v>1.7645521560699873E-2</v>
      </c>
      <c r="E93" s="2">
        <f t="shared" si="6"/>
        <v>2.9054573600513223E-3</v>
      </c>
      <c r="F93" s="2">
        <f t="shared" si="8"/>
        <v>6.0907964794332248E-3</v>
      </c>
      <c r="G93" s="2">
        <f t="shared" si="9"/>
        <v>0.22414419131402052</v>
      </c>
      <c r="J93">
        <v>5221.419921875</v>
      </c>
      <c r="K93" s="2">
        <f t="shared" si="7"/>
        <v>-2.4130405535727206E-4</v>
      </c>
    </row>
    <row r="94" spans="1:11" x14ac:dyDescent="0.3">
      <c r="A94" s="1">
        <v>45426</v>
      </c>
      <c r="B94">
        <v>187.007553100585</v>
      </c>
      <c r="C94">
        <v>169.72473144531199</v>
      </c>
      <c r="D94" s="2">
        <f t="shared" si="5"/>
        <v>6.1734582835470952E-3</v>
      </c>
      <c r="E94" s="2">
        <f t="shared" si="6"/>
        <v>7.0947016226095005E-3</v>
      </c>
      <c r="F94" s="2">
        <f t="shared" si="8"/>
        <v>1.2301856040959569E-2</v>
      </c>
      <c r="G94" s="2">
        <f t="shared" si="9"/>
        <v>0.2328291290944442</v>
      </c>
      <c r="J94">
        <v>5246.68017578125</v>
      </c>
      <c r="K94" s="2">
        <f t="shared" si="7"/>
        <v>4.8378131397597279E-3</v>
      </c>
    </row>
    <row r="95" spans="1:11" x14ac:dyDescent="0.3">
      <c r="A95" s="1">
        <v>45427</v>
      </c>
      <c r="B95">
        <v>189.29240417480401</v>
      </c>
      <c r="C95">
        <v>171.88688659667901</v>
      </c>
      <c r="D95" s="2">
        <f t="shared" si="5"/>
        <v>1.2217961447739345E-2</v>
      </c>
      <c r="E95" s="2">
        <f t="shared" si="6"/>
        <v>1.2739187347388325E-2</v>
      </c>
      <c r="F95" s="2">
        <f t="shared" si="8"/>
        <v>2.4670121091542985E-2</v>
      </c>
      <c r="G95" s="2">
        <f t="shared" si="9"/>
        <v>0.24853437033729597</v>
      </c>
      <c r="J95">
        <v>5308.14990234375</v>
      </c>
      <c r="K95" s="2">
        <f t="shared" si="7"/>
        <v>1.1715927882596233E-2</v>
      </c>
    </row>
    <row r="96" spans="1:11" x14ac:dyDescent="0.3">
      <c r="A96" s="1">
        <v>45428</v>
      </c>
      <c r="B96">
        <v>189.41212463378901</v>
      </c>
      <c r="C96">
        <v>173.550857543945</v>
      </c>
      <c r="D96" s="2">
        <f t="shared" si="5"/>
        <v>6.3246309067133133E-4</v>
      </c>
      <c r="E96" s="2">
        <f t="shared" si="6"/>
        <v>9.6806160156381882E-3</v>
      </c>
      <c r="F96" s="2">
        <f t="shared" si="8"/>
        <v>2.5318187123247071E-2</v>
      </c>
      <c r="G96" s="2">
        <f t="shared" si="9"/>
        <v>0.26062095215885783</v>
      </c>
      <c r="J96">
        <v>5297.10009765625</v>
      </c>
      <c r="K96" s="2">
        <f t="shared" si="7"/>
        <v>-2.0816677921287052E-3</v>
      </c>
    </row>
    <row r="97" spans="1:11" x14ac:dyDescent="0.3">
      <c r="A97" s="1">
        <v>45429</v>
      </c>
      <c r="B97">
        <v>189.44206237792901</v>
      </c>
      <c r="C97">
        <v>175.424072265625</v>
      </c>
      <c r="D97" s="2">
        <f t="shared" si="5"/>
        <v>1.5805611281693999E-4</v>
      </c>
      <c r="E97" s="2">
        <f t="shared" si="6"/>
        <v>1.0793462781972574E-2</v>
      </c>
      <c r="F97" s="2">
        <f t="shared" si="8"/>
        <v>2.5480244930304208E-2</v>
      </c>
      <c r="G97" s="2">
        <f t="shared" si="9"/>
        <v>0.27422741748815938</v>
      </c>
      <c r="J97">
        <v>5303.27001953125</v>
      </c>
      <c r="K97" s="2">
        <f t="shared" si="7"/>
        <v>1.1647735102702228E-3</v>
      </c>
    </row>
    <row r="98" spans="1:11" x14ac:dyDescent="0.3">
      <c r="A98" s="1">
        <v>45432</v>
      </c>
      <c r="B98">
        <v>190.60942077636699</v>
      </c>
      <c r="C98">
        <v>176.28096008300699</v>
      </c>
      <c r="D98" s="2">
        <f t="shared" si="5"/>
        <v>6.162086623134222E-3</v>
      </c>
      <c r="E98" s="2">
        <f t="shared" si="6"/>
        <v>4.8846649511391504E-3</v>
      </c>
      <c r="F98" s="2">
        <f t="shared" si="8"/>
        <v>3.1799343029877747E-2</v>
      </c>
      <c r="G98" s="2">
        <f t="shared" si="9"/>
        <v>0.28045159149414434</v>
      </c>
      <c r="J98">
        <v>5308.1298828125</v>
      </c>
      <c r="K98" s="2">
        <f t="shared" si="7"/>
        <v>9.163899374069473E-4</v>
      </c>
    </row>
    <row r="99" spans="1:11" x14ac:dyDescent="0.3">
      <c r="A99" s="1">
        <v>45433</v>
      </c>
      <c r="B99">
        <v>191.91647338867099</v>
      </c>
      <c r="C99">
        <v>177.20762634277301</v>
      </c>
      <c r="D99" s="2">
        <f t="shared" si="5"/>
        <v>6.857229862932579E-3</v>
      </c>
      <c r="E99" s="2">
        <f t="shared" si="6"/>
        <v>5.2567575042119508E-3</v>
      </c>
      <c r="F99" s="2">
        <f t="shared" si="8"/>
        <v>3.887462829745636E-2</v>
      </c>
      <c r="G99" s="2">
        <f t="shared" si="9"/>
        <v>0.28718261500651132</v>
      </c>
      <c r="J99">
        <v>5321.41015625</v>
      </c>
      <c r="K99" s="2">
        <f t="shared" si="7"/>
        <v>2.501874243978186E-3</v>
      </c>
    </row>
    <row r="100" spans="1:11" x14ac:dyDescent="0.3">
      <c r="A100" s="1">
        <v>45434</v>
      </c>
      <c r="B100">
        <v>190.46974182128901</v>
      </c>
      <c r="C100">
        <v>175.742919921875</v>
      </c>
      <c r="D100" s="2">
        <f t="shared" si="5"/>
        <v>-7.5383396841189887E-3</v>
      </c>
      <c r="E100" s="2">
        <f t="shared" si="6"/>
        <v>-8.265481859481727E-3</v>
      </c>
      <c r="F100" s="2">
        <f t="shared" si="8"/>
        <v>3.1043238460137346E-2</v>
      </c>
      <c r="G100" s="2">
        <f t="shared" si="9"/>
        <v>0.27654343045233465</v>
      </c>
      <c r="J100">
        <v>5307.009765625</v>
      </c>
      <c r="K100" s="2">
        <f t="shared" si="7"/>
        <v>-2.7061230392261271E-3</v>
      </c>
    </row>
    <row r="101" spans="1:11" x14ac:dyDescent="0.3">
      <c r="A101" s="1">
        <v>45435</v>
      </c>
      <c r="B101">
        <v>186.45880126953099</v>
      </c>
      <c r="C101">
        <v>172.92314147949199</v>
      </c>
      <c r="D101" s="2">
        <f t="shared" si="5"/>
        <v>-2.1058150829654232E-2</v>
      </c>
      <c r="E101" s="2">
        <f t="shared" si="6"/>
        <v>-1.6044904930659576E-2</v>
      </c>
      <c r="F101" s="2">
        <f t="shared" si="8"/>
        <v>9.3313744327485626E-3</v>
      </c>
      <c r="G101" s="2">
        <f t="shared" si="9"/>
        <v>0.25606141247086889</v>
      </c>
      <c r="J101">
        <v>5267.83984375</v>
      </c>
      <c r="K101" s="2">
        <f t="shared" si="7"/>
        <v>-7.3807894850155265E-3</v>
      </c>
    </row>
    <row r="102" spans="1:11" x14ac:dyDescent="0.3">
      <c r="A102" s="1">
        <v>45436</v>
      </c>
      <c r="B102">
        <v>189.55180358886699</v>
      </c>
      <c r="C102">
        <v>174.35794067382801</v>
      </c>
      <c r="D102" s="2">
        <f t="shared" si="5"/>
        <v>1.6588127233881478E-2</v>
      </c>
      <c r="E102" s="2">
        <f t="shared" si="6"/>
        <v>8.2973232041714251E-3</v>
      </c>
      <c r="F102" s="2">
        <f t="shared" si="8"/>
        <v>2.6074291692987472E-2</v>
      </c>
      <c r="G102" s="2">
        <f t="shared" si="9"/>
        <v>0.26648335997442785</v>
      </c>
      <c r="J102">
        <v>5304.72021484375</v>
      </c>
      <c r="K102" s="2">
        <f t="shared" si="7"/>
        <v>7.0010425881694704E-3</v>
      </c>
    </row>
    <row r="103" spans="1:11" x14ac:dyDescent="0.3">
      <c r="A103" s="1">
        <v>45440</v>
      </c>
      <c r="B103">
        <v>189.56179809570301</v>
      </c>
      <c r="C103">
        <v>175.76283264160099</v>
      </c>
      <c r="D103" s="2">
        <f t="shared" si="5"/>
        <v>5.2727046890632678E-5</v>
      </c>
      <c r="E103" s="2">
        <f t="shared" si="6"/>
        <v>8.0575164075900041E-3</v>
      </c>
      <c r="F103" s="2">
        <f t="shared" si="8"/>
        <v>2.612839356027874E-2</v>
      </c>
      <c r="G103" s="2">
        <f t="shared" si="9"/>
        <v>0.27668807042736154</v>
      </c>
      <c r="J103">
        <v>5306.0400390625</v>
      </c>
      <c r="K103" s="2">
        <f t="shared" si="7"/>
        <v>2.4880185293407742E-4</v>
      </c>
    </row>
    <row r="104" spans="1:11" x14ac:dyDescent="0.3">
      <c r="A104" s="1">
        <v>45441</v>
      </c>
      <c r="B104">
        <v>189.86111450195301</v>
      </c>
      <c r="C104">
        <v>175.26463317871</v>
      </c>
      <c r="D104" s="2">
        <f t="shared" si="5"/>
        <v>1.5789911746821872E-3</v>
      </c>
      <c r="E104" s="2">
        <f t="shared" si="6"/>
        <v>-2.8344983714895244E-3</v>
      </c>
      <c r="F104" s="2">
        <f t="shared" si="8"/>
        <v>2.7748641237801186E-2</v>
      </c>
      <c r="G104" s="2">
        <f t="shared" si="9"/>
        <v>0.27306930017083508</v>
      </c>
      <c r="J104">
        <v>5266.9501953125</v>
      </c>
      <c r="K104" s="2">
        <f t="shared" si="7"/>
        <v>-7.3670465096804527E-3</v>
      </c>
    </row>
    <row r="105" spans="1:11" x14ac:dyDescent="0.3">
      <c r="A105" s="1">
        <v>45442</v>
      </c>
      <c r="B105">
        <v>190.85885620117099</v>
      </c>
      <c r="C105">
        <v>171.48834228515599</v>
      </c>
      <c r="D105" s="2">
        <f t="shared" si="5"/>
        <v>5.2551134645726361E-3</v>
      </c>
      <c r="E105" s="2">
        <f t="shared" si="6"/>
        <v>-2.1546223131642783E-2</v>
      </c>
      <c r="F105" s="2">
        <f t="shared" si="8"/>
        <v>3.3149576960566085E-2</v>
      </c>
      <c r="G105" s="2">
        <f t="shared" si="9"/>
        <v>0.24563946496730993</v>
      </c>
      <c r="J105">
        <v>5235.47998046875</v>
      </c>
      <c r="K105" s="2">
        <f t="shared" si="7"/>
        <v>-5.9750355854433224E-3</v>
      </c>
    </row>
    <row r="106" spans="1:11" x14ac:dyDescent="0.3">
      <c r="A106" s="1">
        <v>45443</v>
      </c>
      <c r="B106">
        <v>191.81669616699199</v>
      </c>
      <c r="C106">
        <v>171.87692260742099</v>
      </c>
      <c r="D106" s="2">
        <f t="shared" si="5"/>
        <v>5.0185775231272878E-3</v>
      </c>
      <c r="E106" s="2">
        <f t="shared" si="6"/>
        <v>2.2659285003692187E-3</v>
      </c>
      <c r="F106" s="2">
        <f t="shared" si="8"/>
        <v>3.83345182055288E-2</v>
      </c>
      <c r="G106" s="2">
        <f t="shared" si="9"/>
        <v>0.24846199493216403</v>
      </c>
      <c r="J106">
        <v>5277.509765625</v>
      </c>
      <c r="K106" s="2">
        <f t="shared" si="7"/>
        <v>8.0278762048646701E-3</v>
      </c>
    </row>
    <row r="107" spans="1:11" x14ac:dyDescent="0.3">
      <c r="A107" s="1">
        <v>45446</v>
      </c>
      <c r="B107">
        <v>193.59266662597599</v>
      </c>
      <c r="C107">
        <v>172.544509887695</v>
      </c>
      <c r="D107" s="2">
        <f t="shared" si="5"/>
        <v>9.2586854766691928E-3</v>
      </c>
      <c r="E107" s="2">
        <f t="shared" si="6"/>
        <v>3.8841007282799378E-3</v>
      </c>
      <c r="F107" s="2">
        <f t="shared" si="8"/>
        <v>4.7948130929162724E-2</v>
      </c>
      <c r="G107" s="2">
        <f t="shared" si="9"/>
        <v>0.25331114707590996</v>
      </c>
      <c r="J107">
        <v>5283.39990234375</v>
      </c>
      <c r="K107" s="2">
        <f t="shared" si="7"/>
        <v>1.1160825806737495E-3</v>
      </c>
    </row>
    <row r="108" spans="1:11" x14ac:dyDescent="0.3">
      <c r="A108" s="1">
        <v>45447</v>
      </c>
      <c r="B108">
        <v>193.91195678710901</v>
      </c>
      <c r="C108">
        <v>173.16226196289</v>
      </c>
      <c r="D108" s="2">
        <f t="shared" si="5"/>
        <v>1.6492885123065015E-3</v>
      </c>
      <c r="E108" s="2">
        <f t="shared" si="6"/>
        <v>3.5802476450690346E-3</v>
      </c>
      <c r="F108" s="2">
        <f t="shared" si="8"/>
        <v>4.967649974299726E-2</v>
      </c>
      <c r="G108" s="2">
        <f t="shared" si="9"/>
        <v>0.25779831135876718</v>
      </c>
      <c r="J108">
        <v>5291.33984375</v>
      </c>
      <c r="K108" s="2">
        <f t="shared" si="7"/>
        <v>1.5028090913065117E-3</v>
      </c>
    </row>
    <row r="109" spans="1:11" x14ac:dyDescent="0.3">
      <c r="A109" s="1">
        <v>45448</v>
      </c>
      <c r="B109">
        <v>195.42852783203099</v>
      </c>
      <c r="C109">
        <v>174.77642822265599</v>
      </c>
      <c r="D109" s="2">
        <f t="shared" si="5"/>
        <v>7.8209258987933516E-3</v>
      </c>
      <c r="E109" s="2">
        <f t="shared" si="6"/>
        <v>9.3216977040408988E-3</v>
      </c>
      <c r="F109" s="2">
        <f t="shared" si="8"/>
        <v>5.7885941865192025E-2</v>
      </c>
      <c r="G109" s="2">
        <f t="shared" si="9"/>
        <v>0.26952312698990677</v>
      </c>
      <c r="J109">
        <v>5354.02978515625</v>
      </c>
      <c r="K109" s="2">
        <f t="shared" si="7"/>
        <v>1.1847649793331305E-2</v>
      </c>
    </row>
    <row r="110" spans="1:11" x14ac:dyDescent="0.3">
      <c r="A110" s="1">
        <v>45449</v>
      </c>
      <c r="B110">
        <v>194.04165649414</v>
      </c>
      <c r="C110">
        <v>176.09165954589801</v>
      </c>
      <c r="D110" s="2">
        <f t="shared" si="5"/>
        <v>-7.0965654465913186E-3</v>
      </c>
      <c r="E110" s="2">
        <f t="shared" si="6"/>
        <v>7.5252214306982257E-3</v>
      </c>
      <c r="F110" s="2">
        <f t="shared" si="8"/>
        <v>5.0378585043716839E-2</v>
      </c>
      <c r="G110" s="2">
        <f t="shared" si="9"/>
        <v>0.2790765696318982</v>
      </c>
      <c r="J110">
        <v>5352.9599609375</v>
      </c>
      <c r="K110" s="2">
        <f t="shared" si="7"/>
        <v>-1.9981663563317653E-4</v>
      </c>
    </row>
    <row r="111" spans="1:11" x14ac:dyDescent="0.3">
      <c r="A111" s="1">
        <v>45450</v>
      </c>
      <c r="B111">
        <v>196.44624328613199</v>
      </c>
      <c r="C111">
        <v>173.82984924316401</v>
      </c>
      <c r="D111" s="2">
        <f t="shared" si="5"/>
        <v>1.239211639107296E-2</v>
      </c>
      <c r="E111" s="2">
        <f t="shared" si="6"/>
        <v>-1.2844505574918896E-2</v>
      </c>
      <c r="F111" s="2">
        <f t="shared" si="8"/>
        <v>6.3394998724269014E-2</v>
      </c>
      <c r="G111" s="2">
        <f t="shared" si="9"/>
        <v>0.26264746350251311</v>
      </c>
      <c r="J111">
        <v>5346.990234375</v>
      </c>
      <c r="K111" s="2">
        <f t="shared" si="7"/>
        <v>-1.1152197300303701E-3</v>
      </c>
    </row>
    <row r="112" spans="1:11" x14ac:dyDescent="0.3">
      <c r="A112" s="1">
        <v>45453</v>
      </c>
      <c r="B112">
        <v>192.68472290039</v>
      </c>
      <c r="C112">
        <v>174.57798767089801</v>
      </c>
      <c r="D112" s="2">
        <f t="shared" si="5"/>
        <v>-1.914783567667E-2</v>
      </c>
      <c r="E112" s="2">
        <f t="shared" si="6"/>
        <v>4.3038547809326477E-3</v>
      </c>
      <c r="F112" s="2">
        <f t="shared" si="8"/>
        <v>4.3033286029303897E-2</v>
      </c>
      <c r="G112" s="2">
        <f t="shared" si="9"/>
        <v>0.26808171482494081</v>
      </c>
      <c r="J112">
        <v>5360.7900390625</v>
      </c>
      <c r="K112" s="2">
        <f t="shared" si="7"/>
        <v>2.5808546645145203E-3</v>
      </c>
    </row>
    <row r="113" spans="1:11" x14ac:dyDescent="0.3">
      <c r="A113" s="1">
        <v>45454</v>
      </c>
      <c r="B113">
        <v>206.68310546875</v>
      </c>
      <c r="C113">
        <v>176.18402099609301</v>
      </c>
      <c r="D113" s="2">
        <f t="shared" si="5"/>
        <v>7.2649156392105896E-2</v>
      </c>
      <c r="E113" s="2">
        <f t="shared" si="6"/>
        <v>9.1995179152974949E-3</v>
      </c>
      <c r="F113" s="2">
        <f t="shared" si="8"/>
        <v>0.1188087743482189</v>
      </c>
      <c r="G113" s="2">
        <f t="shared" si="9"/>
        <v>0.27974745527853395</v>
      </c>
      <c r="J113">
        <v>5375.31982421875</v>
      </c>
      <c r="K113" s="2">
        <f t="shared" si="7"/>
        <v>2.7103813151374556E-3</v>
      </c>
    </row>
    <row r="114" spans="1:11" x14ac:dyDescent="0.3">
      <c r="A114" s="1">
        <v>45455</v>
      </c>
      <c r="B114">
        <v>212.58978271484301</v>
      </c>
      <c r="C114">
        <v>177.35113525390599</v>
      </c>
      <c r="D114" s="2">
        <f t="shared" si="5"/>
        <v>2.8578423150246834E-2</v>
      </c>
      <c r="E114" s="2">
        <f t="shared" si="6"/>
        <v>6.6244047060253219E-3</v>
      </c>
      <c r="F114" s="2">
        <f t="shared" si="8"/>
        <v>0.15078256492575126</v>
      </c>
      <c r="G114" s="2">
        <f t="shared" si="9"/>
        <v>0.28822502034380504</v>
      </c>
      <c r="J114">
        <v>5421.02978515625</v>
      </c>
      <c r="K114" s="2">
        <f t="shared" si="7"/>
        <v>8.5036727919987065E-3</v>
      </c>
    </row>
    <row r="115" spans="1:11" x14ac:dyDescent="0.3">
      <c r="A115" s="1">
        <v>45456</v>
      </c>
      <c r="B115">
        <v>213.75714111328099</v>
      </c>
      <c r="C115">
        <v>174.72763061523401</v>
      </c>
      <c r="D115" s="2">
        <f t="shared" si="5"/>
        <v>5.4911312459631212E-3</v>
      </c>
      <c r="E115" s="2">
        <f t="shared" si="6"/>
        <v>-1.4792714097465631E-2</v>
      </c>
      <c r="F115" s="2">
        <f t="shared" si="8"/>
        <v>0.15710166302532458</v>
      </c>
      <c r="G115" s="2">
        <f t="shared" si="9"/>
        <v>0.26916867592465721</v>
      </c>
      <c r="J115">
        <v>5433.740234375</v>
      </c>
      <c r="K115" s="2">
        <f t="shared" si="7"/>
        <v>2.3446558536817097E-3</v>
      </c>
    </row>
    <row r="116" spans="1:11" x14ac:dyDescent="0.3">
      <c r="A116" s="1">
        <v>45457</v>
      </c>
      <c r="B116">
        <v>212.01107788085901</v>
      </c>
      <c r="C116">
        <v>176.35360717773401</v>
      </c>
      <c r="D116" s="2">
        <f t="shared" si="5"/>
        <v>-8.1684439795939312E-3</v>
      </c>
      <c r="E116" s="2">
        <f t="shared" si="6"/>
        <v>9.305778123212427E-3</v>
      </c>
      <c r="F116" s="2">
        <f t="shared" si="8"/>
        <v>0.14764994291220734</v>
      </c>
      <c r="G116" s="2">
        <f t="shared" si="9"/>
        <v>0.28097927802374345</v>
      </c>
      <c r="J116">
        <v>5431.60009765625</v>
      </c>
      <c r="K116" s="2">
        <f t="shared" si="7"/>
        <v>-3.9386069750091401E-4</v>
      </c>
    </row>
    <row r="117" spans="1:11" x14ac:dyDescent="0.3">
      <c r="A117" s="1">
        <v>45460</v>
      </c>
      <c r="B117">
        <v>216.18165588378901</v>
      </c>
      <c r="C117">
        <v>176.80250549316401</v>
      </c>
      <c r="D117" s="2">
        <f t="shared" si="5"/>
        <v>1.9671509831546086E-2</v>
      </c>
      <c r="E117" s="2">
        <f t="shared" si="6"/>
        <v>2.5454444772290419E-3</v>
      </c>
      <c r="F117" s="2">
        <f t="shared" si="8"/>
        <v>0.17022595004737817</v>
      </c>
      <c r="G117" s="2">
        <f t="shared" si="9"/>
        <v>0.28423993965243377</v>
      </c>
      <c r="J117">
        <v>5473.22998046875</v>
      </c>
      <c r="K117" s="2">
        <f t="shared" si="7"/>
        <v>7.6643865645527054E-3</v>
      </c>
    </row>
    <row r="118" spans="1:11" x14ac:dyDescent="0.3">
      <c r="A118" s="1">
        <v>45461</v>
      </c>
      <c r="B118">
        <v>213.80700683593699</v>
      </c>
      <c r="C118">
        <v>174.657791137695</v>
      </c>
      <c r="D118" s="2">
        <f t="shared" si="5"/>
        <v>-1.0984507626903062E-2</v>
      </c>
      <c r="E118" s="2">
        <f t="shared" si="6"/>
        <v>-1.2130565398305038E-2</v>
      </c>
      <c r="F118" s="2">
        <f t="shared" si="8"/>
        <v>0.15737159417388291</v>
      </c>
      <c r="G118" s="2">
        <f t="shared" si="9"/>
        <v>0.26866138307736454</v>
      </c>
      <c r="J118">
        <v>5487.02978515625</v>
      </c>
      <c r="K118" s="2">
        <f t="shared" si="7"/>
        <v>2.5213273947457537E-3</v>
      </c>
    </row>
    <row r="119" spans="1:11" x14ac:dyDescent="0.3">
      <c r="A119" s="1">
        <v>45463</v>
      </c>
      <c r="B119">
        <v>209.20741271972599</v>
      </c>
      <c r="C119">
        <v>175.86480712890599</v>
      </c>
      <c r="D119" s="2">
        <f t="shared" si="5"/>
        <v>-2.1512831521655618E-2</v>
      </c>
      <c r="E119" s="2">
        <f t="shared" si="6"/>
        <v>6.9107480596695137E-3</v>
      </c>
      <c r="F119" s="2">
        <f t="shared" si="8"/>
        <v>0.13247325406047028</v>
      </c>
      <c r="G119" s="2">
        <f t="shared" si="9"/>
        <v>0.27742878226884415</v>
      </c>
      <c r="J119">
        <v>5473.169921875</v>
      </c>
      <c r="K119" s="2">
        <f t="shared" si="7"/>
        <v>-2.5259318472709014E-3</v>
      </c>
    </row>
    <row r="120" spans="1:11" x14ac:dyDescent="0.3">
      <c r="A120" s="1">
        <v>45464</v>
      </c>
      <c r="B120">
        <v>207.02235412597599</v>
      </c>
      <c r="C120">
        <v>179.186599731445</v>
      </c>
      <c r="D120" s="2">
        <f t="shared" si="5"/>
        <v>-1.044446066869209E-2</v>
      </c>
      <c r="E120" s="2">
        <f t="shared" si="6"/>
        <v>1.888833051233596E-2</v>
      </c>
      <c r="F120" s="2">
        <f t="shared" si="8"/>
        <v>0.12064518170008998</v>
      </c>
      <c r="G120" s="2">
        <f t="shared" si="9"/>
        <v>0.30155727931430887</v>
      </c>
      <c r="J120">
        <v>5464.6201171875</v>
      </c>
      <c r="K120" s="2">
        <f t="shared" si="7"/>
        <v>-1.5621303211011961E-3</v>
      </c>
    </row>
    <row r="121" spans="1:11" x14ac:dyDescent="0.3">
      <c r="A121" s="1">
        <v>45467</v>
      </c>
      <c r="B121">
        <v>207.67086791992099</v>
      </c>
      <c r="C121">
        <v>178.77760314941401</v>
      </c>
      <c r="D121" s="2">
        <f t="shared" si="5"/>
        <v>3.1325785888338675E-3</v>
      </c>
      <c r="E121" s="2">
        <f t="shared" si="6"/>
        <v>-2.2825176806969827E-3</v>
      </c>
      <c r="F121" s="2">
        <f t="shared" si="8"/>
        <v>0.12415569080196343</v>
      </c>
      <c r="G121" s="2">
        <f t="shared" si="9"/>
        <v>0.29858645181183419</v>
      </c>
      <c r="J121">
        <v>5447.8701171875</v>
      </c>
      <c r="K121" s="2">
        <f t="shared" si="7"/>
        <v>-3.0651718949900042E-3</v>
      </c>
    </row>
    <row r="122" spans="1:11" x14ac:dyDescent="0.3">
      <c r="A122" s="1">
        <v>45468</v>
      </c>
      <c r="B122">
        <v>208.59878540039</v>
      </c>
      <c r="C122">
        <v>183.57572937011699</v>
      </c>
      <c r="D122" s="2">
        <f t="shared" si="5"/>
        <v>4.4682120788690494E-3</v>
      </c>
      <c r="E122" s="2">
        <f t="shared" si="6"/>
        <v>2.6838519681310125E-2</v>
      </c>
      <c r="F122" s="2">
        <f t="shared" si="8"/>
        <v>0.12917865683813412</v>
      </c>
      <c r="G122" s="2">
        <f t="shared" si="9"/>
        <v>0.33343858985666874</v>
      </c>
      <c r="J122">
        <v>5469.2998046875</v>
      </c>
      <c r="K122" s="2">
        <f t="shared" si="7"/>
        <v>3.9335900157368986E-3</v>
      </c>
    </row>
    <row r="123" spans="1:11" x14ac:dyDescent="0.3">
      <c r="A123" s="1">
        <v>45469</v>
      </c>
      <c r="B123">
        <v>212.76936340332</v>
      </c>
      <c r="C123">
        <v>183.42611694335901</v>
      </c>
      <c r="D123" s="2">
        <f t="shared" si="5"/>
        <v>1.9993299553134447E-2</v>
      </c>
      <c r="E123" s="2">
        <f t="shared" si="6"/>
        <v>-8.1499023466413689E-4</v>
      </c>
      <c r="F123" s="2">
        <f t="shared" si="8"/>
        <v>0.15175466397330495</v>
      </c>
      <c r="G123" s="2">
        <f t="shared" si="9"/>
        <v>0.33235185042741122</v>
      </c>
      <c r="J123">
        <v>5477.89990234375</v>
      </c>
      <c r="K123" s="2">
        <f t="shared" si="7"/>
        <v>1.5724312002203256E-3</v>
      </c>
    </row>
    <row r="124" spans="1:11" x14ac:dyDescent="0.3">
      <c r="A124" s="1">
        <v>45470</v>
      </c>
      <c r="B124">
        <v>213.61746215820301</v>
      </c>
      <c r="C124">
        <v>184.95233154296801</v>
      </c>
      <c r="D124" s="2">
        <f t="shared" si="5"/>
        <v>3.9860003400742361E-3</v>
      </c>
      <c r="E124" s="2">
        <f t="shared" si="6"/>
        <v>8.3205959164489585E-3</v>
      </c>
      <c r="F124" s="2">
        <f t="shared" si="8"/>
        <v>0.15634555845558462</v>
      </c>
      <c r="G124" s="2">
        <f t="shared" si="9"/>
        <v>0.34343781179335076</v>
      </c>
      <c r="J124">
        <v>5482.8701171875</v>
      </c>
      <c r="K124" s="2">
        <f t="shared" si="7"/>
        <v>9.073212238914774E-4</v>
      </c>
    </row>
    <row r="125" spans="1:11" x14ac:dyDescent="0.3">
      <c r="A125" s="1">
        <v>45471</v>
      </c>
      <c r="B125">
        <v>210.14527893066401</v>
      </c>
      <c r="C125">
        <v>181.70036315917901</v>
      </c>
      <c r="D125" s="2">
        <f t="shared" si="5"/>
        <v>-1.6254210645792355E-2</v>
      </c>
      <c r="E125" s="2">
        <f t="shared" si="6"/>
        <v>-1.7582737977182572E-2</v>
      </c>
      <c r="F125" s="2">
        <f t="shared" si="8"/>
        <v>0.13755007416912113</v>
      </c>
      <c r="G125" s="2">
        <f t="shared" si="9"/>
        <v>0.31981649675994883</v>
      </c>
      <c r="J125">
        <v>5460.47998046875</v>
      </c>
      <c r="K125" s="2">
        <f t="shared" si="7"/>
        <v>-4.0836525834456738E-3</v>
      </c>
    </row>
    <row r="126" spans="1:11" x14ac:dyDescent="0.3">
      <c r="A126" s="1">
        <v>45474</v>
      </c>
      <c r="B126">
        <v>216.261474609375</v>
      </c>
      <c r="C126">
        <v>182.53829956054599</v>
      </c>
      <c r="D126" s="2">
        <f t="shared" si="5"/>
        <v>2.9104606631343843E-2</v>
      </c>
      <c r="E126" s="2">
        <f t="shared" si="6"/>
        <v>4.6116385614094479E-3</v>
      </c>
      <c r="F126" s="2">
        <f t="shared" si="8"/>
        <v>0.17065802160126942</v>
      </c>
      <c r="G126" s="2">
        <f t="shared" si="9"/>
        <v>0.3259030134103913</v>
      </c>
      <c r="J126">
        <v>5475.08984375</v>
      </c>
      <c r="K126" s="2">
        <f t="shared" si="7"/>
        <v>2.6755639309195001E-3</v>
      </c>
    </row>
    <row r="127" spans="1:11" x14ac:dyDescent="0.3">
      <c r="A127" s="1">
        <v>45475</v>
      </c>
      <c r="B127">
        <v>219.77354431152301</v>
      </c>
      <c r="C127">
        <v>184.78276062011699</v>
      </c>
      <c r="D127" s="2">
        <f t="shared" si="5"/>
        <v>1.6239923030635595E-2</v>
      </c>
      <c r="E127" s="2">
        <f t="shared" si="6"/>
        <v>1.2295836353107603E-2</v>
      </c>
      <c r="F127" s="2">
        <f t="shared" si="8"/>
        <v>0.1896694177672702</v>
      </c>
      <c r="G127" s="2">
        <f t="shared" si="9"/>
        <v>0.3422060998833778</v>
      </c>
      <c r="J127">
        <v>5509.009765625</v>
      </c>
      <c r="K127" s="2">
        <f t="shared" si="7"/>
        <v>6.1953178565135048E-3</v>
      </c>
    </row>
    <row r="128" spans="1:11" x14ac:dyDescent="0.3">
      <c r="A128" s="1">
        <v>45476</v>
      </c>
      <c r="B128">
        <v>221.05065917968699</v>
      </c>
      <c r="C128">
        <v>185.36131286621</v>
      </c>
      <c r="D128" s="2">
        <f t="shared" si="5"/>
        <v>5.8110491513652107E-3</v>
      </c>
      <c r="E128" s="2">
        <f t="shared" si="6"/>
        <v>3.1309860516826049E-3</v>
      </c>
      <c r="F128" s="2">
        <f t="shared" si="8"/>
        <v>0.1965826452277919</v>
      </c>
      <c r="G128" s="2">
        <f t="shared" si="9"/>
        <v>0.346408528460596</v>
      </c>
      <c r="J128">
        <v>5537.02001953125</v>
      </c>
      <c r="K128" s="2">
        <f t="shared" si="7"/>
        <v>5.0844444097790653E-3</v>
      </c>
    </row>
    <row r="129" spans="1:11" x14ac:dyDescent="0.3">
      <c r="A129" s="1">
        <v>45478</v>
      </c>
      <c r="B129">
        <v>225.82984924316401</v>
      </c>
      <c r="C129">
        <v>190.12953186035099</v>
      </c>
      <c r="D129" s="2">
        <f t="shared" si="5"/>
        <v>2.1620338438313125E-2</v>
      </c>
      <c r="E129" s="2">
        <f t="shared" si="6"/>
        <v>2.5723916821751347E-2</v>
      </c>
      <c r="F129" s="2">
        <f t="shared" si="8"/>
        <v>0.22245316698702866</v>
      </c>
      <c r="G129" s="2">
        <f t="shared" si="9"/>
        <v>0.38104342945481307</v>
      </c>
      <c r="J129">
        <v>5567.18994140625</v>
      </c>
      <c r="K129" s="2">
        <f t="shared" si="7"/>
        <v>5.4487651784855817E-3</v>
      </c>
    </row>
    <row r="130" spans="1:11" x14ac:dyDescent="0.3">
      <c r="A130" s="1">
        <v>45481</v>
      </c>
      <c r="B130">
        <v>227.30653381347599</v>
      </c>
      <c r="C130">
        <v>188.563385009765</v>
      </c>
      <c r="D130" s="2">
        <f t="shared" si="5"/>
        <v>6.5389255462060536E-3</v>
      </c>
      <c r="E130" s="2">
        <f t="shared" si="6"/>
        <v>-8.2372624350451895E-3</v>
      </c>
      <c r="F130" s="2">
        <f t="shared" si="8"/>
        <v>0.23044669722968059</v>
      </c>
      <c r="G130" s="2">
        <f t="shared" si="9"/>
        <v>0.36966741229219902</v>
      </c>
      <c r="J130">
        <v>5572.85009765625</v>
      </c>
      <c r="K130" s="2">
        <f t="shared" si="7"/>
        <v>1.0166989647510949E-3</v>
      </c>
    </row>
    <row r="131" spans="1:11" x14ac:dyDescent="0.3">
      <c r="A131" s="1">
        <v>45482</v>
      </c>
      <c r="B131">
        <v>228.16458129882801</v>
      </c>
      <c r="C131">
        <v>188.51350402832</v>
      </c>
      <c r="D131" s="2">
        <f t="shared" si="5"/>
        <v>3.7748474316015024E-3</v>
      </c>
      <c r="E131" s="2">
        <f t="shared" si="6"/>
        <v>-2.6453163981132732E-4</v>
      </c>
      <c r="F131" s="2">
        <f t="shared" si="8"/>
        <v>0.23509144578444063</v>
      </c>
      <c r="G131" s="2">
        <f t="shared" si="9"/>
        <v>0.36930509192562933</v>
      </c>
      <c r="J131">
        <v>5576.97998046875</v>
      </c>
      <c r="K131" s="2">
        <f t="shared" si="7"/>
        <v>7.4107193628569767E-4</v>
      </c>
    </row>
    <row r="132" spans="1:11" x14ac:dyDescent="0.3">
      <c r="A132" s="1">
        <v>45483</v>
      </c>
      <c r="B132">
        <v>232.45487976074199</v>
      </c>
      <c r="C132">
        <v>190.70806884765599</v>
      </c>
      <c r="D132" s="2">
        <f t="shared" ref="D132:D195" si="10">B132/B131-1</f>
        <v>1.8803525233809015E-2</v>
      </c>
      <c r="E132" s="2">
        <f t="shared" ref="E132:E195" si="11">C132/C131-1</f>
        <v>1.1641419699069955E-2</v>
      </c>
      <c r="F132" s="2">
        <f t="shared" si="8"/>
        <v>0.25831551895131</v>
      </c>
      <c r="G132" s="2">
        <f t="shared" si="9"/>
        <v>0.38524574719680915</v>
      </c>
      <c r="J132">
        <v>5633.91015625</v>
      </c>
      <c r="K132" s="2">
        <f t="shared" ref="K132:K195" si="12">J132/J131-1</f>
        <v>1.0208065293514812E-2</v>
      </c>
    </row>
    <row r="133" spans="1:11" x14ac:dyDescent="0.3">
      <c r="A133" s="1">
        <v>45484</v>
      </c>
      <c r="B133">
        <v>227.05709838867099</v>
      </c>
      <c r="C133">
        <v>185.11193847656199</v>
      </c>
      <c r="D133" s="2">
        <f t="shared" si="10"/>
        <v>-2.322077031734826E-2</v>
      </c>
      <c r="E133" s="2">
        <f t="shared" si="11"/>
        <v>-2.9343962239816834E-2</v>
      </c>
      <c r="F133" s="2">
        <f t="shared" si="8"/>
        <v>0.2290964632989867</v>
      </c>
      <c r="G133" s="2">
        <f t="shared" si="9"/>
        <v>0.3445971482981991</v>
      </c>
      <c r="J133">
        <v>5584.5400390625</v>
      </c>
      <c r="K133" s="2">
        <f t="shared" si="12"/>
        <v>-8.7630288411204571E-3</v>
      </c>
    </row>
    <row r="134" spans="1:11" x14ac:dyDescent="0.3">
      <c r="A134" s="1">
        <v>45485</v>
      </c>
      <c r="B134">
        <v>230.02038574218699</v>
      </c>
      <c r="C134">
        <v>184.61317443847599</v>
      </c>
      <c r="D134" s="2">
        <f t="shared" si="10"/>
        <v>1.3050846569189867E-2</v>
      </c>
      <c r="E134" s="2">
        <f t="shared" si="11"/>
        <v>-2.6943915243432537E-3</v>
      </c>
      <c r="F134" s="2">
        <f t="shared" ref="F134:F197" si="13">(1+D134)*(1+F133)-1</f>
        <v>0.24513721266023558</v>
      </c>
      <c r="G134" s="2">
        <f t="shared" ref="G134:G197" si="14">(1+E134)*(1+G133)-1</f>
        <v>0.3409742771381683</v>
      </c>
      <c r="J134">
        <v>5615.35009765625</v>
      </c>
      <c r="K134" s="2">
        <f t="shared" si="12"/>
        <v>5.5170270744306915E-3</v>
      </c>
    </row>
    <row r="135" spans="1:11" x14ac:dyDescent="0.3">
      <c r="A135" s="1">
        <v>45488</v>
      </c>
      <c r="B135">
        <v>233.87168884277301</v>
      </c>
      <c r="C135">
        <v>186.069564819335</v>
      </c>
      <c r="D135" s="2">
        <f t="shared" si="10"/>
        <v>1.6743312068447036E-2</v>
      </c>
      <c r="E135" s="2">
        <f t="shared" si="11"/>
        <v>7.8888756736283927E-3</v>
      </c>
      <c r="F135" s="2">
        <f t="shared" si="13"/>
        <v>0.2659849335798421</v>
      </c>
      <c r="G135" s="2">
        <f t="shared" si="14"/>
        <v>0.35155305649204505</v>
      </c>
      <c r="J135">
        <v>5631.22021484375</v>
      </c>
      <c r="K135" s="2">
        <f t="shared" si="12"/>
        <v>2.8262026252154904E-3</v>
      </c>
    </row>
    <row r="136" spans="1:11" x14ac:dyDescent="0.3">
      <c r="A136" s="1">
        <v>45489</v>
      </c>
      <c r="B136">
        <v>234.290756225585</v>
      </c>
      <c r="C136">
        <v>183.46600341796801</v>
      </c>
      <c r="D136" s="2">
        <f t="shared" si="10"/>
        <v>1.7918688015876594E-3</v>
      </c>
      <c r="E136" s="2">
        <f t="shared" si="11"/>
        <v>-1.3992408720334915E-2</v>
      </c>
      <c r="F136" s="2">
        <f t="shared" si="13"/>
        <v>0.26825341248560375</v>
      </c>
      <c r="G136" s="2">
        <f t="shared" si="14"/>
        <v>0.33264157371839054</v>
      </c>
      <c r="J136">
        <v>5667.2001953125</v>
      </c>
      <c r="K136" s="2">
        <f t="shared" si="12"/>
        <v>6.3893754987431883E-3</v>
      </c>
    </row>
    <row r="137" spans="1:11" x14ac:dyDescent="0.3">
      <c r="A137" s="1">
        <v>45490</v>
      </c>
      <c r="B137">
        <v>228.36413574218699</v>
      </c>
      <c r="C137">
        <v>180.57316589355401</v>
      </c>
      <c r="D137" s="2">
        <f t="shared" si="10"/>
        <v>-2.529600646169583E-2</v>
      </c>
      <c r="E137" s="2">
        <f t="shared" si="11"/>
        <v>-1.5767703392020826E-2</v>
      </c>
      <c r="F137" s="2">
        <f t="shared" si="13"/>
        <v>0.23617166596830019</v>
      </c>
      <c r="G137" s="2">
        <f t="shared" si="14"/>
        <v>0.31162887665612304</v>
      </c>
      <c r="J137">
        <v>5588.27001953125</v>
      </c>
      <c r="K137" s="2">
        <f t="shared" si="12"/>
        <v>-1.3927543241993745E-2</v>
      </c>
    </row>
    <row r="138" spans="1:11" x14ac:dyDescent="0.3">
      <c r="A138" s="1">
        <v>45491</v>
      </c>
      <c r="B138">
        <v>223.674713134765</v>
      </c>
      <c r="C138">
        <v>177.25138854980401</v>
      </c>
      <c r="D138" s="2">
        <f t="shared" si="10"/>
        <v>-2.0534847086129737E-2</v>
      </c>
      <c r="E138" s="2">
        <f t="shared" si="11"/>
        <v>-1.8395741844101865E-2</v>
      </c>
      <c r="F138" s="2">
        <f t="shared" si="13"/>
        <v>0.21078706983543483</v>
      </c>
      <c r="G138" s="2">
        <f t="shared" si="14"/>
        <v>0.28750049044588777</v>
      </c>
      <c r="J138">
        <v>5544.58984375</v>
      </c>
      <c r="K138" s="2">
        <f t="shared" si="12"/>
        <v>-7.8164039369225113E-3</v>
      </c>
    </row>
    <row r="139" spans="1:11" x14ac:dyDescent="0.3">
      <c r="A139" s="1">
        <v>45492</v>
      </c>
      <c r="B139">
        <v>223.804428100585</v>
      </c>
      <c r="C139">
        <v>177.22145080566401</v>
      </c>
      <c r="D139" s="2">
        <f t="shared" si="10"/>
        <v>5.7992682320717748E-4</v>
      </c>
      <c r="E139" s="2">
        <f t="shared" si="11"/>
        <v>-1.68899913196352E-4</v>
      </c>
      <c r="F139" s="2">
        <f t="shared" si="13"/>
        <v>0.21148923773442485</v>
      </c>
      <c r="G139" s="2">
        <f t="shared" si="14"/>
        <v>0.28728303172481118</v>
      </c>
      <c r="J139">
        <v>5505</v>
      </c>
      <c r="K139" s="2">
        <f t="shared" si="12"/>
        <v>-7.1402655319269259E-3</v>
      </c>
    </row>
    <row r="140" spans="1:11" x14ac:dyDescent="0.3">
      <c r="A140" s="1">
        <v>45495</v>
      </c>
      <c r="B140">
        <v>223.45523071289</v>
      </c>
      <c r="C140">
        <v>181.22154235839801</v>
      </c>
      <c r="D140" s="2">
        <f t="shared" si="10"/>
        <v>-1.5602791716795572E-3</v>
      </c>
      <c r="E140" s="2">
        <f t="shared" si="11"/>
        <v>2.2571147762018962E-2</v>
      </c>
      <c r="F140" s="2">
        <f t="shared" si="13"/>
        <v>0.20959897631007385</v>
      </c>
      <c r="G140" s="2">
        <f t="shared" si="14"/>
        <v>0.31633848724541158</v>
      </c>
      <c r="J140">
        <v>5564.41015625</v>
      </c>
      <c r="K140" s="2">
        <f t="shared" si="12"/>
        <v>1.0792035649409559E-2</v>
      </c>
    </row>
    <row r="141" spans="1:11" x14ac:dyDescent="0.3">
      <c r="A141" s="1">
        <v>45496</v>
      </c>
      <c r="B141">
        <v>224.50285339355401</v>
      </c>
      <c r="C141">
        <v>181.34124755859301</v>
      </c>
      <c r="D141" s="2">
        <f t="shared" si="10"/>
        <v>4.6882889128250227E-3</v>
      </c>
      <c r="E141" s="2">
        <f t="shared" si="11"/>
        <v>6.6054619465849562E-4</v>
      </c>
      <c r="F141" s="2">
        <f t="shared" si="13"/>
        <v>0.21526992577967285</v>
      </c>
      <c r="G141" s="2">
        <f t="shared" si="14"/>
        <v>0.31720798962404406</v>
      </c>
      <c r="J141">
        <v>5555.740234375</v>
      </c>
      <c r="K141" s="2">
        <f t="shared" si="12"/>
        <v>-1.5581025897707379E-3</v>
      </c>
    </row>
    <row r="142" spans="1:11" x14ac:dyDescent="0.3">
      <c r="A142" s="1">
        <v>45497</v>
      </c>
      <c r="B142">
        <v>218.04742431640599</v>
      </c>
      <c r="C142">
        <v>172.20388793945301</v>
      </c>
      <c r="D142" s="2">
        <f t="shared" si="10"/>
        <v>-2.875432975380332E-2</v>
      </c>
      <c r="E142" s="2">
        <f t="shared" si="11"/>
        <v>-5.0387651690703361E-2</v>
      </c>
      <c r="F142" s="2">
        <f t="shared" si="13"/>
        <v>0.18032565359392416</v>
      </c>
      <c r="G142" s="2">
        <f t="shared" si="14"/>
        <v>0.25083697223865609</v>
      </c>
      <c r="J142">
        <v>5427.1298828125</v>
      </c>
      <c r="K142" s="2">
        <f t="shared" si="12"/>
        <v>-2.3149093754734951E-2</v>
      </c>
    </row>
    <row r="143" spans="1:11" x14ac:dyDescent="0.3">
      <c r="A143" s="1">
        <v>45498</v>
      </c>
      <c r="B143">
        <v>216.99981689453099</v>
      </c>
      <c r="C143">
        <v>166.86708068847599</v>
      </c>
      <c r="D143" s="2">
        <f t="shared" si="10"/>
        <v>-4.8044934498049363E-3</v>
      </c>
      <c r="E143" s="2">
        <f t="shared" si="11"/>
        <v>-3.0991212305574889E-2</v>
      </c>
      <c r="F143" s="2">
        <f t="shared" si="13"/>
        <v>0.17465478672259538</v>
      </c>
      <c r="G143" s="2">
        <f t="shared" si="14"/>
        <v>0.21207201807234544</v>
      </c>
      <c r="J143">
        <v>5399.22021484375</v>
      </c>
      <c r="K143" s="2">
        <f t="shared" si="12"/>
        <v>-5.1426202378422881E-3</v>
      </c>
    </row>
    <row r="144" spans="1:11" x14ac:dyDescent="0.3">
      <c r="A144" s="1">
        <v>45499</v>
      </c>
      <c r="B144">
        <v>217.46875</v>
      </c>
      <c r="C144">
        <v>166.58776855468699</v>
      </c>
      <c r="D144" s="2">
        <f t="shared" si="10"/>
        <v>2.1609838762994826E-3</v>
      </c>
      <c r="E144" s="2">
        <f t="shared" si="11"/>
        <v>-1.6738600126315895E-3</v>
      </c>
      <c r="F144" s="2">
        <f t="shared" si="13"/>
        <v>0.17719319677692091</v>
      </c>
      <c r="G144" s="2">
        <f t="shared" si="14"/>
        <v>0.21004317918886439</v>
      </c>
      <c r="J144">
        <v>5459.10009765625</v>
      </c>
      <c r="K144" s="2">
        <f t="shared" si="12"/>
        <v>1.1090468702846357E-2</v>
      </c>
    </row>
    <row r="145" spans="1:11" x14ac:dyDescent="0.3">
      <c r="A145" s="1">
        <v>45502</v>
      </c>
      <c r="B145">
        <v>217.748123168945</v>
      </c>
      <c r="C145">
        <v>169.11152648925699</v>
      </c>
      <c r="D145" s="2">
        <f t="shared" si="10"/>
        <v>1.2846589174075884E-3</v>
      </c>
      <c r="E145" s="2">
        <f t="shared" si="11"/>
        <v>1.5149719312924859E-2</v>
      </c>
      <c r="F145" s="2">
        <f t="shared" si="13"/>
        <v>0.17870548851467194</v>
      </c>
      <c r="G145" s="2">
        <f t="shared" si="14"/>
        <v>0.22837499371009495</v>
      </c>
      <c r="J145">
        <v>5463.5400390625</v>
      </c>
      <c r="K145" s="2">
        <f t="shared" si="12"/>
        <v>8.1331012929330981E-4</v>
      </c>
    </row>
    <row r="146" spans="1:11" x14ac:dyDescent="0.3">
      <c r="A146" s="1">
        <v>45503</v>
      </c>
      <c r="B146">
        <v>218.30685424804599</v>
      </c>
      <c r="C146">
        <v>169.86964416503901</v>
      </c>
      <c r="D146" s="2">
        <f t="shared" si="10"/>
        <v>2.5659512971667464E-3</v>
      </c>
      <c r="E146" s="2">
        <f t="shared" si="11"/>
        <v>4.4829450216699041E-3</v>
      </c>
      <c r="F146" s="2">
        <f t="shared" si="13"/>
        <v>0.18172998939190377</v>
      </c>
      <c r="G146" s="2">
        <f t="shared" si="14"/>
        <v>0.23388173127289136</v>
      </c>
      <c r="J146">
        <v>5436.43994140625</v>
      </c>
      <c r="K146" s="2">
        <f t="shared" si="12"/>
        <v>-4.9601718780302173E-3</v>
      </c>
    </row>
    <row r="147" spans="1:11" x14ac:dyDescent="0.3">
      <c r="A147" s="1">
        <v>45504</v>
      </c>
      <c r="B147">
        <v>221.57946777343699</v>
      </c>
      <c r="C147">
        <v>171.11654663085901</v>
      </c>
      <c r="D147" s="2">
        <f t="shared" si="10"/>
        <v>1.4990887650611961E-2</v>
      </c>
      <c r="E147" s="2">
        <f t="shared" si="11"/>
        <v>7.3403489596326477E-3</v>
      </c>
      <c r="F147" s="2">
        <f t="shared" si="13"/>
        <v>0.19944517089623659</v>
      </c>
      <c r="G147" s="2">
        <f t="shared" si="14"/>
        <v>0.24293885375535007</v>
      </c>
      <c r="J147">
        <v>5522.2998046875</v>
      </c>
      <c r="K147" s="2">
        <f t="shared" si="12"/>
        <v>1.5793398659167401E-2</v>
      </c>
    </row>
    <row r="148" spans="1:11" x14ac:dyDescent="0.3">
      <c r="A148" s="1">
        <v>45505</v>
      </c>
      <c r="B148">
        <v>217.86784362792901</v>
      </c>
      <c r="C148">
        <v>170.33848571777301</v>
      </c>
      <c r="D148" s="2">
        <f t="shared" si="10"/>
        <v>-1.6750758465143956E-2</v>
      </c>
      <c r="E148" s="2">
        <f t="shared" si="11"/>
        <v>-4.5469647933257251E-3</v>
      </c>
      <c r="F148" s="2">
        <f t="shared" si="13"/>
        <v>0.17935355454637048</v>
      </c>
      <c r="G148" s="2">
        <f t="shared" si="14"/>
        <v>0.23728725454706789</v>
      </c>
      <c r="J148">
        <v>5446.68017578125</v>
      </c>
      <c r="K148" s="2">
        <f t="shared" si="12"/>
        <v>-1.3693502993456064E-2</v>
      </c>
    </row>
    <row r="149" spans="1:11" x14ac:dyDescent="0.3">
      <c r="A149" s="1">
        <v>45506</v>
      </c>
      <c r="B149">
        <v>219.36445617675699</v>
      </c>
      <c r="C149">
        <v>166.24862670898401</v>
      </c>
      <c r="D149" s="2">
        <f t="shared" si="10"/>
        <v>6.8693595342315117E-3</v>
      </c>
      <c r="E149" s="2">
        <f t="shared" si="11"/>
        <v>-2.4010187665782889E-2</v>
      </c>
      <c r="F149" s="2">
        <f t="shared" si="13"/>
        <v>0.18745495813052337</v>
      </c>
      <c r="G149" s="2">
        <f t="shared" si="14"/>
        <v>0.2075797553689116</v>
      </c>
      <c r="J149">
        <v>5346.56005859375</v>
      </c>
      <c r="K149" s="2">
        <f t="shared" si="12"/>
        <v>-1.8381860868696753E-2</v>
      </c>
    </row>
    <row r="150" spans="1:11" x14ac:dyDescent="0.3">
      <c r="A150" s="1">
        <v>45509</v>
      </c>
      <c r="B150">
        <v>208.79833984375</v>
      </c>
      <c r="C150">
        <v>158.85690307617099</v>
      </c>
      <c r="D150" s="2">
        <f t="shared" si="10"/>
        <v>-4.8166947905603941E-2</v>
      </c>
      <c r="E150" s="2">
        <f t="shared" si="11"/>
        <v>-4.4461862808359509E-2</v>
      </c>
      <c r="F150" s="2">
        <f t="shared" si="13"/>
        <v>0.13025887702199945</v>
      </c>
      <c r="G150" s="2">
        <f t="shared" si="14"/>
        <v>0.1538885099555467</v>
      </c>
      <c r="J150">
        <v>5186.330078125</v>
      </c>
      <c r="K150" s="2">
        <f t="shared" si="12"/>
        <v>-2.996879838863975E-2</v>
      </c>
    </row>
    <row r="151" spans="1:11" x14ac:dyDescent="0.3">
      <c r="A151" s="1">
        <v>45510</v>
      </c>
      <c r="B151">
        <v>206.762924194335</v>
      </c>
      <c r="C151">
        <v>157.89927673339801</v>
      </c>
      <c r="D151" s="2">
        <f t="shared" si="10"/>
        <v>-9.7482367481377397E-3</v>
      </c>
      <c r="E151" s="2">
        <f t="shared" si="11"/>
        <v>-6.0282324798551778E-3</v>
      </c>
      <c r="F151" s="2">
        <f t="shared" si="13"/>
        <v>0.1192408459021046</v>
      </c>
      <c r="G151" s="2">
        <f t="shared" si="14"/>
        <v>0.14693260176170098</v>
      </c>
      <c r="J151">
        <v>5240.02978515625</v>
      </c>
      <c r="K151" s="2">
        <f t="shared" si="12"/>
        <v>1.0354085880061037E-2</v>
      </c>
    </row>
    <row r="152" spans="1:11" x14ac:dyDescent="0.3">
      <c r="A152" s="1">
        <v>45511</v>
      </c>
      <c r="B152">
        <v>209.34710693359301</v>
      </c>
      <c r="C152">
        <v>158.54766845703099</v>
      </c>
      <c r="D152" s="2">
        <f t="shared" si="10"/>
        <v>1.2498288797798018E-2</v>
      </c>
      <c r="E152" s="2">
        <f t="shared" si="11"/>
        <v>4.1063628475497271E-3</v>
      </c>
      <c r="F152" s="2">
        <f t="shared" si="13"/>
        <v>0.1332294412284809</v>
      </c>
      <c r="G152" s="2">
        <f t="shared" si="14"/>
        <v>0.15164232318621873</v>
      </c>
      <c r="J152">
        <v>5199.5</v>
      </c>
      <c r="K152" s="2">
        <f t="shared" si="12"/>
        <v>-7.7346478585028633E-3</v>
      </c>
    </row>
    <row r="153" spans="1:11" x14ac:dyDescent="0.3">
      <c r="A153" s="1">
        <v>45512</v>
      </c>
      <c r="B153">
        <v>212.82922363281199</v>
      </c>
      <c r="C153">
        <v>161.63003540039</v>
      </c>
      <c r="D153" s="2">
        <f t="shared" si="10"/>
        <v>1.6633221018542921E-2</v>
      </c>
      <c r="E153" s="2">
        <f t="shared" si="11"/>
        <v>1.9441263144114762E-2</v>
      </c>
      <c r="F153" s="2">
        <f t="shared" si="13"/>
        <v>0.15207869698915411</v>
      </c>
      <c r="G153" s="2">
        <f t="shared" si="14"/>
        <v>0.17403170463918172</v>
      </c>
      <c r="J153">
        <v>5319.31005859375</v>
      </c>
      <c r="K153" s="2">
        <f t="shared" si="12"/>
        <v>2.3042611519136447E-2</v>
      </c>
    </row>
    <row r="154" spans="1:11" x14ac:dyDescent="0.3">
      <c r="A154" s="1">
        <v>45513</v>
      </c>
      <c r="B154">
        <v>215.75263977050699</v>
      </c>
      <c r="C154">
        <v>163.26599121093699</v>
      </c>
      <c r="D154" s="2">
        <f t="shared" si="10"/>
        <v>1.3735971441303008E-2</v>
      </c>
      <c r="E154" s="2">
        <f t="shared" si="11"/>
        <v>1.0121607698064361E-2</v>
      </c>
      <c r="F154" s="2">
        <f t="shared" si="13"/>
        <v>0.16790361706913082</v>
      </c>
      <c r="G154" s="2">
        <f t="shared" si="14"/>
        <v>0.18591479297862934</v>
      </c>
      <c r="J154">
        <v>5344.16015625</v>
      </c>
      <c r="K154" s="2">
        <f t="shared" si="12"/>
        <v>4.6716768495385086E-3</v>
      </c>
    </row>
    <row r="155" spans="1:11" x14ac:dyDescent="0.3">
      <c r="A155" s="1">
        <v>45516</v>
      </c>
      <c r="B155">
        <v>217.29093933105401</v>
      </c>
      <c r="C155">
        <v>161.889389038085</v>
      </c>
      <c r="D155" s="2">
        <f t="shared" si="10"/>
        <v>7.1299223137353263E-3</v>
      </c>
      <c r="E155" s="2">
        <f t="shared" si="11"/>
        <v>-8.4316529280947794E-3</v>
      </c>
      <c r="F155" s="2">
        <f t="shared" si="13"/>
        <v>0.17623067912876422</v>
      </c>
      <c r="G155" s="2">
        <f t="shared" si="14"/>
        <v>0.17591557104194022</v>
      </c>
      <c r="J155">
        <v>5344.39013671875</v>
      </c>
      <c r="K155" s="2">
        <f t="shared" si="12"/>
        <v>4.3033977655149158E-5</v>
      </c>
    </row>
    <row r="156" spans="1:11" x14ac:dyDescent="0.3">
      <c r="A156" s="1">
        <v>45517</v>
      </c>
      <c r="B156">
        <v>221.02682495117099</v>
      </c>
      <c r="C156">
        <v>163.75477600097599</v>
      </c>
      <c r="D156" s="2">
        <f t="shared" si="10"/>
        <v>1.7193011506223765E-2</v>
      </c>
      <c r="E156" s="2">
        <f t="shared" si="11"/>
        <v>1.1522601783691577E-2</v>
      </c>
      <c r="F156" s="2">
        <f t="shared" si="13"/>
        <v>0.19645362672899847</v>
      </c>
      <c r="G156" s="2">
        <f t="shared" si="14"/>
        <v>0.18946517789829875</v>
      </c>
      <c r="J156">
        <v>5434.43017578125</v>
      </c>
      <c r="K156" s="2">
        <f t="shared" si="12"/>
        <v>1.6847579753558328E-2</v>
      </c>
    </row>
    <row r="157" spans="1:11" x14ac:dyDescent="0.3">
      <c r="A157" s="1">
        <v>45518</v>
      </c>
      <c r="B157">
        <v>221.47633361816401</v>
      </c>
      <c r="C157">
        <v>159.97412109375</v>
      </c>
      <c r="D157" s="2">
        <f t="shared" si="10"/>
        <v>2.0337290149841092E-3</v>
      </c>
      <c r="E157" s="2">
        <f t="shared" si="11"/>
        <v>-2.3087295525374252E-2</v>
      </c>
      <c r="F157" s="2">
        <f t="shared" si="13"/>
        <v>0.19888688918476016</v>
      </c>
      <c r="G157" s="2">
        <f t="shared" si="14"/>
        <v>0.16200364381901888</v>
      </c>
      <c r="J157">
        <v>5455.2099609375</v>
      </c>
      <c r="K157" s="2">
        <f t="shared" si="12"/>
        <v>3.8237284285767004E-3</v>
      </c>
    </row>
    <row r="158" spans="1:11" x14ac:dyDescent="0.3">
      <c r="A158" s="1">
        <v>45519</v>
      </c>
      <c r="B158">
        <v>224.47303771972599</v>
      </c>
      <c r="C158">
        <v>160.90185546875</v>
      </c>
      <c r="D158" s="2">
        <f t="shared" si="10"/>
        <v>1.3530583844359789E-2</v>
      </c>
      <c r="E158" s="2">
        <f t="shared" si="11"/>
        <v>5.7992778372966125E-3</v>
      </c>
      <c r="F158" s="2">
        <f t="shared" si="13"/>
        <v>0.21510852875877817</v>
      </c>
      <c r="G158" s="2">
        <f t="shared" si="14"/>
        <v>0.16874242579747634</v>
      </c>
      <c r="J158">
        <v>5543.22021484375</v>
      </c>
      <c r="K158" s="2">
        <f t="shared" si="12"/>
        <v>1.6133247764330783E-2</v>
      </c>
    </row>
    <row r="159" spans="1:11" x14ac:dyDescent="0.3">
      <c r="A159" s="1">
        <v>45520</v>
      </c>
      <c r="B159">
        <v>225.80157470703099</v>
      </c>
      <c r="C159">
        <v>162.55775451660099</v>
      </c>
      <c r="D159" s="2">
        <f t="shared" si="10"/>
        <v>5.9184702127290656E-3</v>
      </c>
      <c r="E159" s="2">
        <f t="shared" si="11"/>
        <v>1.029136079895987E-2</v>
      </c>
      <c r="F159" s="2">
        <f t="shared" si="13"/>
        <v>0.22230011239147007</v>
      </c>
      <c r="G159" s="2">
        <f t="shared" si="14"/>
        <v>0.18077037578240973</v>
      </c>
      <c r="J159">
        <v>5554.25</v>
      </c>
      <c r="K159" s="2">
        <f t="shared" si="12"/>
        <v>1.989779357261412E-3</v>
      </c>
    </row>
    <row r="160" spans="1:11" x14ac:dyDescent="0.3">
      <c r="A160" s="1">
        <v>45523</v>
      </c>
      <c r="B160">
        <v>225.64175415039</v>
      </c>
      <c r="C160">
        <v>166.25859069824199</v>
      </c>
      <c r="D160" s="2">
        <f t="shared" si="10"/>
        <v>-7.0779203753723596E-4</v>
      </c>
      <c r="E160" s="2">
        <f t="shared" si="11"/>
        <v>2.2766285082161719E-2</v>
      </c>
      <c r="F160" s="2">
        <f t="shared" si="13"/>
        <v>0.22143497810443846</v>
      </c>
      <c r="G160" s="2">
        <f t="shared" si="14"/>
        <v>0.20765213077404332</v>
      </c>
      <c r="J160">
        <v>5608.25</v>
      </c>
      <c r="K160" s="2">
        <f t="shared" si="12"/>
        <v>9.7222847369131671E-3</v>
      </c>
    </row>
    <row r="161" spans="1:11" x14ac:dyDescent="0.3">
      <c r="A161" s="1">
        <v>45524</v>
      </c>
      <c r="B161">
        <v>226.26106262207</v>
      </c>
      <c r="C161">
        <v>166.767318725585</v>
      </c>
      <c r="D161" s="2">
        <f t="shared" si="10"/>
        <v>2.7446536834987434E-3</v>
      </c>
      <c r="E161" s="2">
        <f t="shared" si="11"/>
        <v>3.0598600962903344E-3</v>
      </c>
      <c r="F161" s="2">
        <f t="shared" si="13"/>
        <v>0.22478739411624704</v>
      </c>
      <c r="G161" s="2">
        <f t="shared" si="14"/>
        <v>0.21134737733919873</v>
      </c>
      <c r="J161">
        <v>5597.1201171875</v>
      </c>
      <c r="K161" s="2">
        <f t="shared" si="12"/>
        <v>-1.9845553982971165E-3</v>
      </c>
    </row>
    <row r="162" spans="1:11" x14ac:dyDescent="0.3">
      <c r="A162" s="1">
        <v>45525</v>
      </c>
      <c r="B162">
        <v>226.15118408203099</v>
      </c>
      <c r="C162">
        <v>165.44061279296801</v>
      </c>
      <c r="D162" s="2">
        <f t="shared" si="10"/>
        <v>-4.8562726067691298E-4</v>
      </c>
      <c r="E162" s="2">
        <f t="shared" si="11"/>
        <v>-7.9554312125151849E-3</v>
      </c>
      <c r="F162" s="2">
        <f t="shared" si="13"/>
        <v>0.22419260396913065</v>
      </c>
      <c r="G162" s="2">
        <f t="shared" si="14"/>
        <v>0.20171058660431607</v>
      </c>
      <c r="J162">
        <v>5620.85009765625</v>
      </c>
      <c r="K162" s="2">
        <f t="shared" si="12"/>
        <v>4.239676828782013E-3</v>
      </c>
    </row>
    <row r="163" spans="1:11" x14ac:dyDescent="0.3">
      <c r="A163" s="1">
        <v>45526</v>
      </c>
      <c r="B163">
        <v>224.28324890136699</v>
      </c>
      <c r="C163">
        <v>163.39567565917901</v>
      </c>
      <c r="D163" s="2">
        <f t="shared" si="10"/>
        <v>-8.2596745546397177E-3</v>
      </c>
      <c r="E163" s="2">
        <f t="shared" si="11"/>
        <v>-1.2360551011425636E-2</v>
      </c>
      <c r="F163" s="2">
        <f t="shared" si="13"/>
        <v>0.21408117146814876</v>
      </c>
      <c r="G163" s="2">
        <f t="shared" si="14"/>
        <v>0.1868567815976232</v>
      </c>
      <c r="J163">
        <v>5570.64013671875</v>
      </c>
      <c r="K163" s="2">
        <f t="shared" si="12"/>
        <v>-8.9328055481209256E-3</v>
      </c>
    </row>
    <row r="164" spans="1:11" x14ac:dyDescent="0.3">
      <c r="A164" s="1">
        <v>45527</v>
      </c>
      <c r="B164">
        <v>226.59069824218699</v>
      </c>
      <c r="C164">
        <v>165.211181640625</v>
      </c>
      <c r="D164" s="2">
        <f t="shared" si="10"/>
        <v>1.0288103780031976E-2</v>
      </c>
      <c r="E164" s="2">
        <f t="shared" si="11"/>
        <v>1.1111101772564025E-2</v>
      </c>
      <c r="F164" s="2">
        <f t="shared" si="13"/>
        <v>0.22657176455759598</v>
      </c>
      <c r="G164" s="2">
        <f t="shared" si="14"/>
        <v>0.20004406808741226</v>
      </c>
      <c r="J164">
        <v>5634.60986328125</v>
      </c>
      <c r="K164" s="2">
        <f t="shared" si="12"/>
        <v>1.148337085011919E-2</v>
      </c>
    </row>
    <row r="165" spans="1:11" x14ac:dyDescent="0.3">
      <c r="A165" s="1">
        <v>45530</v>
      </c>
      <c r="B165">
        <v>226.93032836914</v>
      </c>
      <c r="C165">
        <v>165.74984741210901</v>
      </c>
      <c r="D165" s="2">
        <f t="shared" si="10"/>
        <v>1.4988705608294239E-3</v>
      </c>
      <c r="E165" s="2">
        <f t="shared" si="11"/>
        <v>3.2604680030419164E-3</v>
      </c>
      <c r="F165" s="2">
        <f t="shared" si="13"/>
        <v>0.22841023686623596</v>
      </c>
      <c r="G165" s="2">
        <f t="shared" si="14"/>
        <v>0.20395677337365159</v>
      </c>
      <c r="J165">
        <v>5616.83984375</v>
      </c>
      <c r="K165" s="2">
        <f t="shared" si="12"/>
        <v>-3.1537266931381813E-3</v>
      </c>
    </row>
    <row r="166" spans="1:11" x14ac:dyDescent="0.3">
      <c r="A166" s="1">
        <v>45531</v>
      </c>
      <c r="B166">
        <v>227.77938842773401</v>
      </c>
      <c r="C166">
        <v>164.27348327636699</v>
      </c>
      <c r="D166" s="2">
        <f t="shared" si="10"/>
        <v>3.7415010355639211E-3</v>
      </c>
      <c r="E166" s="2">
        <f t="shared" si="11"/>
        <v>-8.9071824728217397E-3</v>
      </c>
      <c r="F166" s="2">
        <f t="shared" si="13"/>
        <v>0.23300633503956836</v>
      </c>
      <c r="G166" s="2">
        <f t="shared" si="14"/>
        <v>0.19323291070382287</v>
      </c>
      <c r="J166">
        <v>5625.7998046875</v>
      </c>
      <c r="K166" s="2">
        <f t="shared" si="12"/>
        <v>1.5951960865450143E-3</v>
      </c>
    </row>
    <row r="167" spans="1:11" x14ac:dyDescent="0.3">
      <c r="A167" s="1">
        <v>45532</v>
      </c>
      <c r="B167">
        <v>226.24108886718699</v>
      </c>
      <c r="C167">
        <v>162.44801330566401</v>
      </c>
      <c r="D167" s="2">
        <f t="shared" si="10"/>
        <v>-6.7534625110957647E-3</v>
      </c>
      <c r="E167" s="2">
        <f t="shared" si="11"/>
        <v>-1.1112383656173397E-2</v>
      </c>
      <c r="F167" s="2">
        <f t="shared" si="13"/>
        <v>0.22467927297993495</v>
      </c>
      <c r="G167" s="2">
        <f t="shared" si="14"/>
        <v>0.17997324880890941</v>
      </c>
      <c r="J167">
        <v>5592.18017578125</v>
      </c>
      <c r="K167" s="2">
        <f t="shared" si="12"/>
        <v>-5.9759732079761596E-3</v>
      </c>
    </row>
    <row r="168" spans="1:11" x14ac:dyDescent="0.3">
      <c r="A168" s="1">
        <v>45533</v>
      </c>
      <c r="B168">
        <v>229.53746032714801</v>
      </c>
      <c r="C168">
        <v>161.38066101074199</v>
      </c>
      <c r="D168" s="2">
        <f t="shared" si="10"/>
        <v>1.4570171477101379E-2</v>
      </c>
      <c r="E168" s="2">
        <f t="shared" si="11"/>
        <v>-6.5704238125318115E-3</v>
      </c>
      <c r="F168" s="2">
        <f t="shared" si="13"/>
        <v>0.24252305999170454</v>
      </c>
      <c r="G168" s="2">
        <f t="shared" si="14"/>
        <v>0.17222032447678481</v>
      </c>
      <c r="J168">
        <v>5591.9599609375</v>
      </c>
      <c r="K168" s="2">
        <f t="shared" si="12"/>
        <v>-3.9379068060729772E-5</v>
      </c>
    </row>
    <row r="169" spans="1:11" x14ac:dyDescent="0.3">
      <c r="A169" s="1">
        <v>45534</v>
      </c>
      <c r="B169">
        <v>228.74833679199199</v>
      </c>
      <c r="C169">
        <v>162.97671508789</v>
      </c>
      <c r="D169" s="2">
        <f t="shared" si="10"/>
        <v>-3.4378856245569356E-3</v>
      </c>
      <c r="E169" s="2">
        <f t="shared" si="11"/>
        <v>9.8899959087523914E-3</v>
      </c>
      <c r="F169" s="2">
        <f t="shared" si="13"/>
        <v>0.23825140782557863</v>
      </c>
      <c r="G169" s="2">
        <f t="shared" si="14"/>
        <v>0.18381357869001658</v>
      </c>
      <c r="J169">
        <v>5648.39990234375</v>
      </c>
      <c r="K169" s="2">
        <f t="shared" si="12"/>
        <v>1.0093051774424433E-2</v>
      </c>
    </row>
    <row r="170" spans="1:11" x14ac:dyDescent="0.3">
      <c r="A170" s="1">
        <v>45538</v>
      </c>
      <c r="B170">
        <v>222.52517700195301</v>
      </c>
      <c r="C170">
        <v>156.97155761718699</v>
      </c>
      <c r="D170" s="2">
        <f t="shared" si="10"/>
        <v>-2.7205267925938581E-2</v>
      </c>
      <c r="E170" s="2">
        <f t="shared" si="11"/>
        <v>-3.6846720511359843E-2</v>
      </c>
      <c r="F170" s="2">
        <f t="shared" si="13"/>
        <v>0.20456444651601302</v>
      </c>
      <c r="G170" s="2">
        <f t="shared" si="14"/>
        <v>0.14019393061847274</v>
      </c>
      <c r="J170">
        <v>5528.93017578125</v>
      </c>
      <c r="K170" s="2">
        <f t="shared" si="12"/>
        <v>-2.1151074397711689E-2</v>
      </c>
    </row>
    <row r="171" spans="1:11" x14ac:dyDescent="0.3">
      <c r="A171" s="1">
        <v>45539</v>
      </c>
      <c r="B171">
        <v>220.60729980468699</v>
      </c>
      <c r="C171">
        <v>156.06381225585901</v>
      </c>
      <c r="D171" s="2">
        <f t="shared" si="10"/>
        <v>-8.6186975474203953E-3</v>
      </c>
      <c r="E171" s="2">
        <f t="shared" si="11"/>
        <v>-5.7828652216201926E-3</v>
      </c>
      <c r="F171" s="2">
        <f t="shared" si="13"/>
        <v>0.19418266987511568</v>
      </c>
      <c r="G171" s="2">
        <f t="shared" si="14"/>
        <v>0.1336003427911967</v>
      </c>
      <c r="J171">
        <v>5520.06982421875</v>
      </c>
      <c r="K171" s="2">
        <f t="shared" si="12"/>
        <v>-1.6025435809103872E-3</v>
      </c>
    </row>
    <row r="172" spans="1:11" x14ac:dyDescent="0.3">
      <c r="A172" s="1">
        <v>45540</v>
      </c>
      <c r="B172">
        <v>222.13560485839801</v>
      </c>
      <c r="C172">
        <v>156.85186767578099</v>
      </c>
      <c r="D172" s="2">
        <f t="shared" si="10"/>
        <v>6.9277175100919131E-3</v>
      </c>
      <c r="E172" s="2">
        <f t="shared" si="11"/>
        <v>5.049571765106009E-3</v>
      </c>
      <c r="F172" s="2">
        <f t="shared" si="13"/>
        <v>0.20245563006745781</v>
      </c>
      <c r="G172" s="2">
        <f t="shared" si="14"/>
        <v>0.1393245390750697</v>
      </c>
      <c r="J172">
        <v>5503.41015625</v>
      </c>
      <c r="K172" s="2">
        <f t="shared" si="12"/>
        <v>-3.0180176155847338E-3</v>
      </c>
    </row>
    <row r="173" spans="1:11" x14ac:dyDescent="0.3">
      <c r="A173" s="1">
        <v>45541</v>
      </c>
      <c r="B173">
        <v>220.57733154296801</v>
      </c>
      <c r="C173">
        <v>150.54745483398401</v>
      </c>
      <c r="D173" s="2">
        <f t="shared" si="10"/>
        <v>-7.0149641991130718E-3</v>
      </c>
      <c r="E173" s="2">
        <f t="shared" si="11"/>
        <v>-4.0193419021496535E-2</v>
      </c>
      <c r="F173" s="2">
        <f t="shared" si="13"/>
        <v>0.19402044687151254</v>
      </c>
      <c r="G173" s="2">
        <f t="shared" si="14"/>
        <v>9.353119047455194E-2</v>
      </c>
      <c r="J173">
        <v>5408.419921875</v>
      </c>
      <c r="K173" s="2">
        <f t="shared" si="12"/>
        <v>-1.7260249859284649E-2</v>
      </c>
    </row>
    <row r="174" spans="1:11" x14ac:dyDescent="0.3">
      <c r="A174" s="1">
        <v>45544</v>
      </c>
      <c r="B174">
        <v>220.667221069335</v>
      </c>
      <c r="C174">
        <v>148.53976440429599</v>
      </c>
      <c r="D174" s="2">
        <f t="shared" si="10"/>
        <v>4.0751933001548224E-4</v>
      </c>
      <c r="E174" s="2">
        <f t="shared" si="11"/>
        <v>-1.3335930732950585E-2</v>
      </c>
      <c r="F174" s="2">
        <f t="shared" si="13"/>
        <v>0.19450703328404639</v>
      </c>
      <c r="G174" s="2">
        <f t="shared" si="14"/>
        <v>7.8947934264062214E-2</v>
      </c>
      <c r="J174">
        <v>5471.0498046875</v>
      </c>
      <c r="K174" s="2">
        <f t="shared" si="12"/>
        <v>1.1580070282484201E-2</v>
      </c>
    </row>
    <row r="175" spans="1:11" x14ac:dyDescent="0.3">
      <c r="A175" s="1">
        <v>45545</v>
      </c>
      <c r="B175">
        <v>219.86810302734301</v>
      </c>
      <c r="C175">
        <v>148.489822387695</v>
      </c>
      <c r="D175" s="2">
        <f t="shared" si="10"/>
        <v>-3.6213717566185855E-3</v>
      </c>
      <c r="E175" s="2">
        <f t="shared" si="11"/>
        <v>-3.3621984524667692E-4</v>
      </c>
      <c r="F175" s="2">
        <f t="shared" si="13"/>
        <v>0.19018127925062922</v>
      </c>
      <c r="G175" s="2">
        <f t="shared" si="14"/>
        <v>7.8585170556574768E-2</v>
      </c>
      <c r="J175">
        <v>5495.52001953125</v>
      </c>
      <c r="K175" s="2">
        <f t="shared" si="12"/>
        <v>4.4726726528396821E-3</v>
      </c>
    </row>
    <row r="176" spans="1:11" x14ac:dyDescent="0.3">
      <c r="A176" s="1">
        <v>45546</v>
      </c>
      <c r="B176">
        <v>222.41529846191401</v>
      </c>
      <c r="C176">
        <v>150.98695373535099</v>
      </c>
      <c r="D176" s="2">
        <f t="shared" si="10"/>
        <v>1.1585106704878445E-2</v>
      </c>
      <c r="E176" s="2">
        <f t="shared" si="11"/>
        <v>1.6816851872421212E-2</v>
      </c>
      <c r="F176" s="2">
        <f t="shared" si="13"/>
        <v>0.20396965636889641</v>
      </c>
      <c r="G176" s="2">
        <f t="shared" si="14"/>
        <v>9.6723577601614874E-2</v>
      </c>
      <c r="J176">
        <v>5554.1298828125</v>
      </c>
      <c r="K176" s="2">
        <f t="shared" si="12"/>
        <v>1.0665025888896507E-2</v>
      </c>
    </row>
    <row r="177" spans="1:11" x14ac:dyDescent="0.3">
      <c r="A177" s="1">
        <v>45547</v>
      </c>
      <c r="B177">
        <v>222.52517700195301</v>
      </c>
      <c r="C177">
        <v>154.512924194335</v>
      </c>
      <c r="D177" s="2">
        <f t="shared" si="10"/>
        <v>4.9402420066813058E-4</v>
      </c>
      <c r="E177" s="2">
        <f t="shared" si="11"/>
        <v>2.3352815403934191E-2</v>
      </c>
      <c r="F177" s="2">
        <f t="shared" si="13"/>
        <v>0.2045644465160128</v>
      </c>
      <c r="G177" s="2">
        <f t="shared" si="14"/>
        <v>0.12233516085848772</v>
      </c>
      <c r="J177">
        <v>5595.759765625</v>
      </c>
      <c r="K177" s="2">
        <f t="shared" si="12"/>
        <v>7.4953023589392487E-3</v>
      </c>
    </row>
    <row r="178" spans="1:11" x14ac:dyDescent="0.3">
      <c r="A178" s="1">
        <v>45548</v>
      </c>
      <c r="B178">
        <v>222.25547790527301</v>
      </c>
      <c r="C178">
        <v>157.27975463867099</v>
      </c>
      <c r="D178" s="2">
        <f t="shared" si="10"/>
        <v>-1.211993628377761E-3</v>
      </c>
      <c r="E178" s="2">
        <f t="shared" si="11"/>
        <v>1.7906789731427786E-2</v>
      </c>
      <c r="F178" s="2">
        <f t="shared" si="13"/>
        <v>0.20310452208186502</v>
      </c>
      <c r="G178" s="2">
        <f t="shared" si="14"/>
        <v>0.1424325805921689</v>
      </c>
      <c r="J178">
        <v>5626.02001953125</v>
      </c>
      <c r="K178" s="2">
        <f t="shared" si="12"/>
        <v>5.407711405364557E-3</v>
      </c>
    </row>
    <row r="179" spans="1:11" x14ac:dyDescent="0.3">
      <c r="A179" s="1">
        <v>45551</v>
      </c>
      <c r="B179">
        <v>216.082275390625</v>
      </c>
      <c r="C179">
        <v>157.87905883789</v>
      </c>
      <c r="D179" s="2">
        <f t="shared" si="10"/>
        <v>-2.7775254733109822E-2</v>
      </c>
      <c r="E179" s="2">
        <f t="shared" si="11"/>
        <v>3.8104344745184537E-3</v>
      </c>
      <c r="F179" s="2">
        <f t="shared" si="13"/>
        <v>0.16968798751048486</v>
      </c>
      <c r="G179" s="2">
        <f t="shared" si="14"/>
        <v>0.14678574508207043</v>
      </c>
      <c r="J179">
        <v>5633.08984375</v>
      </c>
      <c r="K179" s="2">
        <f t="shared" si="12"/>
        <v>1.2566297656613212E-3</v>
      </c>
    </row>
    <row r="180" spans="1:11" x14ac:dyDescent="0.3">
      <c r="A180" s="1">
        <v>45552</v>
      </c>
      <c r="B180">
        <v>216.55174255371</v>
      </c>
      <c r="C180">
        <v>159.13761901855401</v>
      </c>
      <c r="D180" s="2">
        <f t="shared" si="10"/>
        <v>2.1726315230452542E-3</v>
      </c>
      <c r="E180" s="2">
        <f t="shared" si="11"/>
        <v>7.9716726836855933E-3</v>
      </c>
      <c r="F180" s="2">
        <f t="shared" si="13"/>
        <v>0.17222928850427754</v>
      </c>
      <c r="G180" s="2">
        <f t="shared" si="14"/>
        <v>0.15592754568018119</v>
      </c>
      <c r="J180">
        <v>5634.580078125</v>
      </c>
      <c r="K180" s="2">
        <f t="shared" si="12"/>
        <v>2.6455008109871336E-4</v>
      </c>
    </row>
    <row r="181" spans="1:11" x14ac:dyDescent="0.3">
      <c r="A181" s="1">
        <v>45553</v>
      </c>
      <c r="B181">
        <v>220.44746398925699</v>
      </c>
      <c r="C181">
        <v>159.62705993652301</v>
      </c>
      <c r="D181" s="2">
        <f t="shared" si="10"/>
        <v>1.7989794908165102E-2</v>
      </c>
      <c r="E181" s="2">
        <f t="shared" si="11"/>
        <v>3.0755827628157206E-3</v>
      </c>
      <c r="F181" s="2">
        <f t="shared" si="13"/>
        <v>0.19331745298981384</v>
      </c>
      <c r="G181" s="2">
        <f t="shared" si="14"/>
        <v>0.15948269651473912</v>
      </c>
      <c r="J181">
        <v>5618.259765625</v>
      </c>
      <c r="K181" s="2">
        <f t="shared" si="12"/>
        <v>-2.8964558624980929E-3</v>
      </c>
    </row>
    <row r="182" spans="1:11" x14ac:dyDescent="0.3">
      <c r="A182" s="1">
        <v>45554</v>
      </c>
      <c r="B182">
        <v>228.61846923828099</v>
      </c>
      <c r="C182">
        <v>161.95439147949199</v>
      </c>
      <c r="D182" s="2">
        <f t="shared" si="10"/>
        <v>3.7065544330426858E-2</v>
      </c>
      <c r="E182" s="2">
        <f t="shared" si="11"/>
        <v>1.4579805854310957E-2</v>
      </c>
      <c r="F182" s="2">
        <f t="shared" si="13"/>
        <v>0.23754841394387993</v>
      </c>
      <c r="G182" s="2">
        <f t="shared" si="14"/>
        <v>0.17638772912135692</v>
      </c>
      <c r="J182">
        <v>5713.64013671875</v>
      </c>
      <c r="K182" s="2">
        <f t="shared" si="12"/>
        <v>1.6976853166763339E-2</v>
      </c>
    </row>
    <row r="183" spans="1:11" x14ac:dyDescent="0.3">
      <c r="A183" s="1">
        <v>45555</v>
      </c>
      <c r="B183">
        <v>227.94920349121</v>
      </c>
      <c r="C183">
        <v>163.40272521972599</v>
      </c>
      <c r="D183" s="2">
        <f t="shared" si="10"/>
        <v>-2.9274351687371691E-3</v>
      </c>
      <c r="E183" s="2">
        <f t="shared" si="11"/>
        <v>8.9428494467060915E-3</v>
      </c>
      <c r="F183" s="2">
        <f t="shared" si="13"/>
        <v>0.23392557119388568</v>
      </c>
      <c r="G183" s="2">
        <f t="shared" si="14"/>
        <v>0.18690798747384174</v>
      </c>
      <c r="J183">
        <v>5702.5498046875</v>
      </c>
      <c r="K183" s="2">
        <f t="shared" si="12"/>
        <v>-1.9410273951238066E-3</v>
      </c>
    </row>
    <row r="184" spans="1:11" x14ac:dyDescent="0.3">
      <c r="A184" s="1">
        <v>45558</v>
      </c>
      <c r="B184">
        <v>226.22111511230401</v>
      </c>
      <c r="C184">
        <v>161.66471862792901</v>
      </c>
      <c r="D184" s="2">
        <f t="shared" si="10"/>
        <v>-7.5810239844625871E-3</v>
      </c>
      <c r="E184" s="2">
        <f t="shared" si="11"/>
        <v>-1.0636337854585398E-2</v>
      </c>
      <c r="F184" s="2">
        <f t="shared" si="13"/>
        <v>0.22457115184362308</v>
      </c>
      <c r="G184" s="2">
        <f t="shared" si="14"/>
        <v>0.17428363311676387</v>
      </c>
      <c r="J184">
        <v>5718.56982421875</v>
      </c>
      <c r="K184" s="2">
        <f t="shared" si="12"/>
        <v>2.8092730585327352E-3</v>
      </c>
    </row>
    <row r="185" spans="1:11" x14ac:dyDescent="0.3">
      <c r="A185" s="1">
        <v>45559</v>
      </c>
      <c r="B185">
        <v>227.1201171875</v>
      </c>
      <c r="C185">
        <v>162.10420227050699</v>
      </c>
      <c r="D185" s="2">
        <f t="shared" si="10"/>
        <v>3.9739971874406255E-3</v>
      </c>
      <c r="E185" s="2">
        <f t="shared" si="11"/>
        <v>2.7184882781348119E-3</v>
      </c>
      <c r="F185" s="2">
        <f t="shared" si="13"/>
        <v>0.22943759415687048</v>
      </c>
      <c r="G185" s="2">
        <f t="shared" si="14"/>
        <v>0.17747590940859737</v>
      </c>
      <c r="J185">
        <v>5732.93017578125</v>
      </c>
      <c r="K185" s="2">
        <f t="shared" si="12"/>
        <v>2.5111788443470395E-3</v>
      </c>
    </row>
    <row r="186" spans="1:11" x14ac:dyDescent="0.3">
      <c r="A186" s="1">
        <v>45560</v>
      </c>
      <c r="B186">
        <v>226.12121582031199</v>
      </c>
      <c r="C186">
        <v>161.30513000488199</v>
      </c>
      <c r="D186" s="2">
        <f t="shared" si="10"/>
        <v>-4.398119284005797E-3</v>
      </c>
      <c r="E186" s="2">
        <f t="shared" si="11"/>
        <v>-4.9293741583057438E-3</v>
      </c>
      <c r="F186" s="2">
        <f t="shared" si="13"/>
        <v>0.22403038096552752</v>
      </c>
      <c r="G186" s="2">
        <f t="shared" si="14"/>
        <v>0.17167169008873118</v>
      </c>
      <c r="J186">
        <v>5722.259765625</v>
      </c>
      <c r="K186" s="2">
        <f t="shared" si="12"/>
        <v>-1.8612489301417234E-3</v>
      </c>
    </row>
    <row r="187" spans="1:11" x14ac:dyDescent="0.3">
      <c r="A187" s="1">
        <v>45561</v>
      </c>
      <c r="B187">
        <v>227.26995849609301</v>
      </c>
      <c r="C187">
        <v>162.543701171875</v>
      </c>
      <c r="D187" s="2">
        <f t="shared" si="10"/>
        <v>5.0802074082860749E-3</v>
      </c>
      <c r="E187" s="2">
        <f t="shared" si="11"/>
        <v>7.6784363086004337E-3</v>
      </c>
      <c r="F187" s="2">
        <f t="shared" si="13"/>
        <v>0.23024870917487572</v>
      </c>
      <c r="G187" s="2">
        <f t="shared" si="14"/>
        <v>0.18066829653566763</v>
      </c>
      <c r="J187">
        <v>5745.3701171875</v>
      </c>
      <c r="K187" s="2">
        <f t="shared" si="12"/>
        <v>4.0386757171231302E-3</v>
      </c>
    </row>
    <row r="188" spans="1:11" x14ac:dyDescent="0.3">
      <c r="A188" s="1">
        <v>45562</v>
      </c>
      <c r="B188">
        <v>227.53965759277301</v>
      </c>
      <c r="C188">
        <v>163.76231384277301</v>
      </c>
      <c r="D188" s="2">
        <f t="shared" si="10"/>
        <v>1.1866904823878421E-3</v>
      </c>
      <c r="E188" s="2">
        <f t="shared" si="11"/>
        <v>7.4971386901634407E-3</v>
      </c>
      <c r="F188" s="2">
        <f t="shared" si="13"/>
        <v>0.2317086336090235</v>
      </c>
      <c r="G188" s="2">
        <f t="shared" si="14"/>
        <v>0.18951993050187443</v>
      </c>
      <c r="J188">
        <v>5738.169921875</v>
      </c>
      <c r="K188" s="2">
        <f t="shared" si="12"/>
        <v>-1.2532169669905446E-3</v>
      </c>
    </row>
    <row r="189" spans="1:11" x14ac:dyDescent="0.3">
      <c r="A189" s="1">
        <v>45565</v>
      </c>
      <c r="B189">
        <v>232.74394226074199</v>
      </c>
      <c r="C189">
        <v>165.66014099121</v>
      </c>
      <c r="D189" s="2">
        <f t="shared" si="10"/>
        <v>2.2871989538118642E-2</v>
      </c>
      <c r="E189" s="2">
        <f t="shared" si="11"/>
        <v>1.158891263748929E-2</v>
      </c>
      <c r="F189" s="2">
        <f t="shared" si="13"/>
        <v>0.25988026059093938</v>
      </c>
      <c r="G189" s="2">
        <f t="shared" si="14"/>
        <v>0.20330517305701301</v>
      </c>
      <c r="J189">
        <v>5762.47998046875</v>
      </c>
      <c r="K189" s="2">
        <f t="shared" si="12"/>
        <v>4.2365525811767224E-3</v>
      </c>
    </row>
    <row r="190" spans="1:11" x14ac:dyDescent="0.3">
      <c r="A190" s="1">
        <v>45566</v>
      </c>
      <c r="B190">
        <v>225.96141052246</v>
      </c>
      <c r="C190">
        <v>166.79884338378901</v>
      </c>
      <c r="D190" s="2">
        <f t="shared" si="10"/>
        <v>-2.9141603740146071E-2</v>
      </c>
      <c r="E190" s="2">
        <f t="shared" si="11"/>
        <v>6.8737258447668648E-3</v>
      </c>
      <c r="F190" s="2">
        <f t="shared" si="13"/>
        <v>0.22316532927676636</v>
      </c>
      <c r="G190" s="2">
        <f t="shared" si="14"/>
        <v>0.21157636292419668</v>
      </c>
      <c r="J190">
        <v>5708.75</v>
      </c>
      <c r="K190" s="2">
        <f t="shared" si="12"/>
        <v>-9.3241070946643578E-3</v>
      </c>
    </row>
    <row r="191" spans="1:11" x14ac:dyDescent="0.3">
      <c r="A191" s="1">
        <v>45567</v>
      </c>
      <c r="B191">
        <v>226.53077697753901</v>
      </c>
      <c r="C191">
        <v>165.67013549804599</v>
      </c>
      <c r="D191" s="2">
        <f t="shared" si="10"/>
        <v>2.5197508449010808E-3</v>
      </c>
      <c r="E191" s="2">
        <f t="shared" si="11"/>
        <v>-6.7668807699461375E-3</v>
      </c>
      <c r="F191" s="2">
        <f t="shared" si="13"/>
        <v>0.22624740114866526</v>
      </c>
      <c r="G191" s="2">
        <f t="shared" si="14"/>
        <v>0.20337777013260361</v>
      </c>
      <c r="J191">
        <v>5709.5400390625</v>
      </c>
      <c r="K191" s="2">
        <f t="shared" si="12"/>
        <v>1.3839090212397487E-4</v>
      </c>
    </row>
    <row r="192" spans="1:11" x14ac:dyDescent="0.3">
      <c r="A192" s="1">
        <v>45568</v>
      </c>
      <c r="B192">
        <v>225.42198181152301</v>
      </c>
      <c r="C192">
        <v>165.67013549804599</v>
      </c>
      <c r="D192" s="2">
        <f t="shared" si="10"/>
        <v>-4.8946778040933614E-3</v>
      </c>
      <c r="E192" s="2">
        <f t="shared" si="11"/>
        <v>0</v>
      </c>
      <c r="F192" s="2">
        <f t="shared" si="13"/>
        <v>0.22024531521193569</v>
      </c>
      <c r="G192" s="2">
        <f t="shared" si="14"/>
        <v>0.20337777013260361</v>
      </c>
      <c r="J192">
        <v>5699.93994140625</v>
      </c>
      <c r="K192" s="2">
        <f t="shared" si="12"/>
        <v>-1.681413492255035E-3</v>
      </c>
    </row>
    <row r="193" spans="1:11" x14ac:dyDescent="0.3">
      <c r="A193" s="1">
        <v>45569</v>
      </c>
      <c r="B193">
        <v>226.55075073242099</v>
      </c>
      <c r="C193">
        <v>166.86875915527301</v>
      </c>
      <c r="D193" s="2">
        <f t="shared" si="10"/>
        <v>5.0073595832449413E-3</v>
      </c>
      <c r="E193" s="2">
        <f t="shared" si="11"/>
        <v>7.2350013695809956E-3</v>
      </c>
      <c r="F193" s="2">
        <f t="shared" si="13"/>
        <v>0.22635552228497202</v>
      </c>
      <c r="G193" s="2">
        <f t="shared" si="14"/>
        <v>0.21208420994763633</v>
      </c>
      <c r="J193">
        <v>5751.06982421875</v>
      </c>
      <c r="K193" s="2">
        <f t="shared" si="12"/>
        <v>8.9702493952743545E-3</v>
      </c>
    </row>
    <row r="194" spans="1:11" x14ac:dyDescent="0.3">
      <c r="A194" s="1">
        <v>45572</v>
      </c>
      <c r="B194">
        <v>221.446365356445</v>
      </c>
      <c r="C194">
        <v>162.79342651367099</v>
      </c>
      <c r="D194" s="2">
        <f t="shared" si="10"/>
        <v>-2.2530869394490671E-2</v>
      </c>
      <c r="E194" s="2">
        <f t="shared" si="11"/>
        <v>-2.4422382369427731E-2</v>
      </c>
      <c r="F194" s="2">
        <f t="shared" si="13"/>
        <v>0.19872466618115703</v>
      </c>
      <c r="G194" s="2">
        <f t="shared" si="14"/>
        <v>0.18248222590834939</v>
      </c>
      <c r="J194">
        <v>5695.93994140625</v>
      </c>
      <c r="K194" s="2">
        <f t="shared" si="12"/>
        <v>-9.5860221658826683E-3</v>
      </c>
    </row>
    <row r="195" spans="1:11" x14ac:dyDescent="0.3">
      <c r="A195" s="1">
        <v>45573</v>
      </c>
      <c r="B195">
        <v>225.521881103515</v>
      </c>
      <c r="C195">
        <v>164.19183349609301</v>
      </c>
      <c r="D195" s="2">
        <f t="shared" si="10"/>
        <v>1.8404076041211859E-2</v>
      </c>
      <c r="E195" s="2">
        <f t="shared" si="11"/>
        <v>8.5900703263628309E-3</v>
      </c>
      <c r="F195" s="2">
        <f t="shared" si="13"/>
        <v>0.22078608609003125</v>
      </c>
      <c r="G195" s="2">
        <f t="shared" si="14"/>
        <v>0.19263983138857621</v>
      </c>
      <c r="J195">
        <v>5751.1298828125</v>
      </c>
      <c r="K195" s="2">
        <f t="shared" si="12"/>
        <v>9.6893474955819237E-3</v>
      </c>
    </row>
    <row r="196" spans="1:11" x14ac:dyDescent="0.3">
      <c r="A196" s="1">
        <v>45574</v>
      </c>
      <c r="B196">
        <v>229.28773498535099</v>
      </c>
      <c r="C196">
        <v>161.674713134765</v>
      </c>
      <c r="D196" s="2">
        <f t="shared" ref="D196:D251" si="15">B196/B195-1</f>
        <v>1.6698396906805968E-2</v>
      </c>
      <c r="E196" s="2">
        <f t="shared" ref="E196:E250" si="16">C196/C195-1</f>
        <v>-1.5330362708860901E-2</v>
      </c>
      <c r="F196" s="2">
        <f t="shared" si="13"/>
        <v>0.24117125669386885</v>
      </c>
      <c r="G196" s="2">
        <f t="shared" si="14"/>
        <v>0.17435623019235469</v>
      </c>
      <c r="J196">
        <v>5792.0400390625</v>
      </c>
      <c r="K196" s="2">
        <f t="shared" ref="K196:K251" si="17">J196/J195-1</f>
        <v>7.1134119874882717E-3</v>
      </c>
    </row>
    <row r="197" spans="1:11" x14ac:dyDescent="0.3">
      <c r="A197" s="1">
        <v>45575</v>
      </c>
      <c r="B197">
        <v>228.78828430175699</v>
      </c>
      <c r="C197">
        <v>161.89445495605401</v>
      </c>
      <c r="D197" s="2">
        <f t="shared" si="15"/>
        <v>-2.1782703886272792E-3</v>
      </c>
      <c r="E197" s="2">
        <f t="shared" si="16"/>
        <v>1.3591601124773867E-3</v>
      </c>
      <c r="F197" s="2">
        <f t="shared" si="13"/>
        <v>0.23846765009819726</v>
      </c>
      <c r="G197" s="2">
        <f t="shared" si="14"/>
        <v>0.17595236833827155</v>
      </c>
      <c r="J197">
        <v>5780.0498046875</v>
      </c>
      <c r="K197" s="2">
        <f t="shared" si="17"/>
        <v>-2.070122839989974E-3</v>
      </c>
    </row>
    <row r="198" spans="1:11" x14ac:dyDescent="0.3">
      <c r="A198" s="1">
        <v>45576</v>
      </c>
      <c r="B198">
        <v>227.29992675781199</v>
      </c>
      <c r="C198">
        <v>163.053131103515</v>
      </c>
      <c r="D198" s="2">
        <f t="shared" si="15"/>
        <v>-6.5053923040130357E-3</v>
      </c>
      <c r="E198" s="2">
        <f t="shared" si="16"/>
        <v>7.1569847637802386E-3</v>
      </c>
      <c r="F198" s="2">
        <f t="shared" ref="F198:F251" si="18">(1+D198)*(1+F197)-1</f>
        <v>0.2304109321784793</v>
      </c>
      <c r="G198" s="2">
        <f t="shared" ref="G198:G250" si="19">(1+E198)*(1+G197)-1</f>
        <v>0.18436864152139987</v>
      </c>
      <c r="J198">
        <v>5815.02978515625</v>
      </c>
      <c r="K198" s="2">
        <f t="shared" si="17"/>
        <v>6.0518475879536293E-3</v>
      </c>
    </row>
    <row r="199" spans="1:11" x14ac:dyDescent="0.3">
      <c r="A199" s="1">
        <v>45579</v>
      </c>
      <c r="B199">
        <v>231.045806884765</v>
      </c>
      <c r="C199">
        <v>164.77116394042901</v>
      </c>
      <c r="D199" s="2">
        <f t="shared" si="15"/>
        <v>1.6479900281464843E-2</v>
      </c>
      <c r="E199" s="2">
        <f t="shared" si="16"/>
        <v>1.0536644253849481E-2</v>
      </c>
      <c r="F199" s="2">
        <f t="shared" si="18"/>
        <v>0.25068798164600481</v>
      </c>
      <c r="G199" s="2">
        <f t="shared" si="19"/>
        <v>0.19684791256252576</v>
      </c>
      <c r="J199">
        <v>5859.85009765625</v>
      </c>
      <c r="K199" s="2">
        <f t="shared" si="17"/>
        <v>7.7076668832223305E-3</v>
      </c>
    </row>
    <row r="200" spans="1:11" x14ac:dyDescent="0.3">
      <c r="A200" s="1">
        <v>45580</v>
      </c>
      <c r="B200">
        <v>233.593002319335</v>
      </c>
      <c r="C200">
        <v>165.27059936523401</v>
      </c>
      <c r="D200" s="2">
        <f t="shared" si="15"/>
        <v>1.1024633897988911E-2</v>
      </c>
      <c r="E200" s="2">
        <f t="shared" si="16"/>
        <v>3.0310851295896057E-3</v>
      </c>
      <c r="F200" s="2">
        <f t="shared" si="18"/>
        <v>0.26447635876426667</v>
      </c>
      <c r="G200" s="2">
        <f t="shared" si="19"/>
        <v>0.20047566047267429</v>
      </c>
      <c r="J200">
        <v>5815.259765625</v>
      </c>
      <c r="K200" s="2">
        <f t="shared" si="17"/>
        <v>-7.6094663324381973E-3</v>
      </c>
    </row>
    <row r="201" spans="1:11" x14ac:dyDescent="0.3">
      <c r="A201" s="1">
        <v>45581</v>
      </c>
      <c r="B201">
        <v>231.52526855468699</v>
      </c>
      <c r="C201">
        <v>164.970932006835</v>
      </c>
      <c r="D201" s="2">
        <f t="shared" si="15"/>
        <v>-8.8518651848196184E-3</v>
      </c>
      <c r="E201" s="2">
        <f t="shared" si="16"/>
        <v>-1.8131921802786444E-3</v>
      </c>
      <c r="F201" s="2">
        <f t="shared" si="18"/>
        <v>0.25328338450709387</v>
      </c>
      <c r="G201" s="2">
        <f t="shared" si="19"/>
        <v>0.19829896739249042</v>
      </c>
      <c r="J201">
        <v>5842.47021484375</v>
      </c>
      <c r="K201" s="2">
        <f t="shared" si="17"/>
        <v>4.6791459565738158E-3</v>
      </c>
    </row>
    <row r="202" spans="1:11" x14ac:dyDescent="0.3">
      <c r="A202" s="1">
        <v>45582</v>
      </c>
      <c r="B202">
        <v>231.89486694335901</v>
      </c>
      <c r="C202">
        <v>162.74346923828099</v>
      </c>
      <c r="D202" s="2">
        <f t="shared" si="15"/>
        <v>1.596363070775153E-3</v>
      </c>
      <c r="E202" s="2">
        <f t="shared" si="16"/>
        <v>-1.350215302452018E-2</v>
      </c>
      <c r="F202" s="2">
        <f t="shared" si="18"/>
        <v>0.25528407981933698</v>
      </c>
      <c r="G202" s="2">
        <f t="shared" si="19"/>
        <v>0.18211935136563251</v>
      </c>
      <c r="J202">
        <v>5841.47021484375</v>
      </c>
      <c r="K202" s="2">
        <f t="shared" si="17"/>
        <v>-1.7116047891174713E-4</v>
      </c>
    </row>
    <row r="203" spans="1:11" x14ac:dyDescent="0.3">
      <c r="A203" s="1">
        <v>45583</v>
      </c>
      <c r="B203">
        <v>234.74172973632801</v>
      </c>
      <c r="C203">
        <v>163.23292541503901</v>
      </c>
      <c r="D203" s="2">
        <f t="shared" si="15"/>
        <v>1.2276523540576623E-2</v>
      </c>
      <c r="E203" s="2">
        <f t="shared" si="16"/>
        <v>3.0075319092612851E-3</v>
      </c>
      <c r="F203" s="2">
        <f t="shared" si="18"/>
        <v>0.2706946043753502</v>
      </c>
      <c r="G203" s="2">
        <f t="shared" si="19"/>
        <v>0.18567461303541988</v>
      </c>
      <c r="J203">
        <v>5864.669921875</v>
      </c>
      <c r="K203" s="2">
        <f t="shared" si="17"/>
        <v>3.9715527389487804E-3</v>
      </c>
    </row>
    <row r="204" spans="1:11" x14ac:dyDescent="0.3">
      <c r="A204" s="1">
        <v>45586</v>
      </c>
      <c r="B204">
        <v>236.22010803222599</v>
      </c>
      <c r="C204">
        <v>163.88218688964801</v>
      </c>
      <c r="D204" s="2">
        <f t="shared" si="15"/>
        <v>6.2978929973744879E-3</v>
      </c>
      <c r="E204" s="2">
        <f t="shared" si="16"/>
        <v>3.977515399899767E-3</v>
      </c>
      <c r="F204" s="2">
        <f t="shared" si="18"/>
        <v>0.27869730302604734</v>
      </c>
      <c r="G204" s="2">
        <f t="shared" si="19"/>
        <v>0.19039065206803851</v>
      </c>
      <c r="J204">
        <v>5853.97998046875</v>
      </c>
      <c r="K204" s="2">
        <f t="shared" si="17"/>
        <v>-1.8227694906369774E-3</v>
      </c>
    </row>
    <row r="205" spans="1:11" x14ac:dyDescent="0.3">
      <c r="A205" s="1">
        <v>45587</v>
      </c>
      <c r="B205">
        <v>235.60079956054599</v>
      </c>
      <c r="C205">
        <v>164.95095825195301</v>
      </c>
      <c r="D205" s="2">
        <f t="shared" si="15"/>
        <v>-2.6217432412464214E-3</v>
      </c>
      <c r="E205" s="2">
        <f t="shared" si="16"/>
        <v>6.5215834776763959E-3</v>
      </c>
      <c r="F205" s="2">
        <f t="shared" si="18"/>
        <v>0.27534488701423876</v>
      </c>
      <c r="G205" s="2">
        <f t="shared" si="19"/>
        <v>0.19815388407654577</v>
      </c>
      <c r="J205">
        <v>5851.2001953125</v>
      </c>
      <c r="K205" s="2">
        <f t="shared" si="17"/>
        <v>-4.7485388838441889E-4</v>
      </c>
    </row>
    <row r="206" spans="1:11" x14ac:dyDescent="0.3">
      <c r="A206" s="1">
        <v>45588</v>
      </c>
      <c r="B206">
        <v>230.50639343261699</v>
      </c>
      <c r="C206">
        <v>162.593658447265</v>
      </c>
      <c r="D206" s="2">
        <f t="shared" si="15"/>
        <v>-2.1623042610344867E-2</v>
      </c>
      <c r="E206" s="2">
        <f t="shared" si="16"/>
        <v>-1.4290913066945521E-2</v>
      </c>
      <c r="F206" s="2">
        <f t="shared" si="18"/>
        <v>0.24776805017944437</v>
      </c>
      <c r="G206" s="2">
        <f t="shared" si="19"/>
        <v>0.18103117107838473</v>
      </c>
      <c r="J206">
        <v>5797.419921875</v>
      </c>
      <c r="K206" s="2">
        <f t="shared" si="17"/>
        <v>-9.1913234280693867E-3</v>
      </c>
    </row>
    <row r="207" spans="1:11" x14ac:dyDescent="0.3">
      <c r="A207" s="1">
        <v>45589</v>
      </c>
      <c r="B207">
        <v>230.31661987304599</v>
      </c>
      <c r="C207">
        <v>162.53372192382801</v>
      </c>
      <c r="D207" s="2">
        <f t="shared" si="15"/>
        <v>-8.2328978708556821E-4</v>
      </c>
      <c r="E207" s="2">
        <f t="shared" si="16"/>
        <v>-3.6862768209644514E-4</v>
      </c>
      <c r="F207" s="2">
        <f t="shared" si="18"/>
        <v>0.24674077548708007</v>
      </c>
      <c r="G207" s="2">
        <f t="shared" si="19"/>
        <v>0.18059581029530647</v>
      </c>
      <c r="J207">
        <v>5809.85986328125</v>
      </c>
      <c r="K207" s="2">
        <f t="shared" si="17"/>
        <v>2.145772011323821E-3</v>
      </c>
    </row>
    <row r="208" spans="1:11" x14ac:dyDescent="0.3">
      <c r="A208" s="1">
        <v>45590</v>
      </c>
      <c r="B208">
        <v>231.15568542480401</v>
      </c>
      <c r="C208">
        <v>165.080810546875</v>
      </c>
      <c r="D208" s="2">
        <f t="shared" si="15"/>
        <v>3.6430959790072492E-3</v>
      </c>
      <c r="E208" s="2">
        <f t="shared" si="16"/>
        <v>1.5671139458928396E-2</v>
      </c>
      <c r="F208" s="2">
        <f t="shared" si="18"/>
        <v>0.25128277179312142</v>
      </c>
      <c r="G208" s="2">
        <f t="shared" si="19"/>
        <v>0.19909709188307079</v>
      </c>
      <c r="J208">
        <v>5808.1201171875</v>
      </c>
      <c r="K208" s="2">
        <f t="shared" si="17"/>
        <v>-2.9944716993013376E-4</v>
      </c>
    </row>
    <row r="209" spans="1:11" x14ac:dyDescent="0.3">
      <c r="A209" s="1">
        <v>45593</v>
      </c>
      <c r="B209">
        <v>233.14349365234301</v>
      </c>
      <c r="C209">
        <v>166.52914428710901</v>
      </c>
      <c r="D209" s="2">
        <f t="shared" si="15"/>
        <v>8.5994347224724876E-3</v>
      </c>
      <c r="E209" s="2">
        <f t="shared" si="16"/>
        <v>8.7734833348347419E-3</v>
      </c>
      <c r="F209" s="2">
        <f t="shared" si="18"/>
        <v>0.26204309630851075</v>
      </c>
      <c r="G209" s="2">
        <f t="shared" si="19"/>
        <v>0.20961735023555561</v>
      </c>
      <c r="J209">
        <v>5823.52001953125</v>
      </c>
      <c r="K209" s="2">
        <f t="shared" si="17"/>
        <v>2.6514435020339455E-3</v>
      </c>
    </row>
    <row r="210" spans="1:11" x14ac:dyDescent="0.3">
      <c r="A210" s="1">
        <v>45594</v>
      </c>
      <c r="B210">
        <v>233.41319274902301</v>
      </c>
      <c r="C210">
        <v>169.485748291015</v>
      </c>
      <c r="D210" s="2">
        <f t="shared" si="15"/>
        <v>1.1567944378587658E-3</v>
      </c>
      <c r="E210" s="2">
        <f t="shared" si="16"/>
        <v>1.7754273683221466E-2</v>
      </c>
      <c r="F210" s="2">
        <f t="shared" si="18"/>
        <v>0.26350302074265852</v>
      </c>
      <c r="G210" s="2">
        <f t="shared" si="19"/>
        <v>0.23109322772361085</v>
      </c>
      <c r="J210">
        <v>5832.919921875</v>
      </c>
      <c r="K210" s="2">
        <f t="shared" si="17"/>
        <v>1.614127248163344E-3</v>
      </c>
    </row>
    <row r="211" spans="1:11" x14ac:dyDescent="0.3">
      <c r="A211" s="1">
        <v>45595</v>
      </c>
      <c r="B211">
        <v>229.84712219238199</v>
      </c>
      <c r="C211">
        <v>174.26028442382801</v>
      </c>
      <c r="D211" s="2">
        <f t="shared" si="15"/>
        <v>-1.5277930585849253E-2</v>
      </c>
      <c r="E211" s="2">
        <f t="shared" si="16"/>
        <v>2.8170723385041896E-2</v>
      </c>
      <c r="F211" s="2">
        <f t="shared" si="18"/>
        <v>0.24419930929674138</v>
      </c>
      <c r="G211" s="2">
        <f t="shared" si="19"/>
        <v>0.26577401450301119</v>
      </c>
      <c r="J211">
        <v>5813.669921875</v>
      </c>
      <c r="K211" s="2">
        <f t="shared" si="17"/>
        <v>-3.3002338893437511E-3</v>
      </c>
    </row>
    <row r="212" spans="1:11" x14ac:dyDescent="0.3">
      <c r="A212" s="1">
        <v>45596</v>
      </c>
      <c r="B212">
        <v>225.66172790527301</v>
      </c>
      <c r="C212">
        <v>170.91412353515599</v>
      </c>
      <c r="D212" s="2">
        <f t="shared" si="15"/>
        <v>-1.8209470047685916E-2</v>
      </c>
      <c r="E212" s="2">
        <f t="shared" si="16"/>
        <v>-1.9202085545399594E-2</v>
      </c>
      <c r="F212" s="2">
        <f t="shared" si="18"/>
        <v>0.22154309924075077</v>
      </c>
      <c r="G212" s="2">
        <f t="shared" si="19"/>
        <v>0.24146851359538046</v>
      </c>
      <c r="J212">
        <v>5705.4501953125</v>
      </c>
      <c r="K212" s="2">
        <f t="shared" si="17"/>
        <v>-1.8614700871699585E-2</v>
      </c>
    </row>
    <row r="213" spans="1:11" x14ac:dyDescent="0.3">
      <c r="A213" s="1">
        <v>45597</v>
      </c>
      <c r="B213">
        <v>222.66502380371</v>
      </c>
      <c r="C213">
        <v>171.09390258789</v>
      </c>
      <c r="D213" s="2">
        <f t="shared" si="15"/>
        <v>-1.3279629334492005E-2</v>
      </c>
      <c r="E213" s="2">
        <f t="shared" si="16"/>
        <v>1.0518677392803433E-3</v>
      </c>
      <c r="F213" s="2">
        <f t="shared" si="18"/>
        <v>0.20532145966672699</v>
      </c>
      <c r="G213" s="2">
        <f t="shared" si="19"/>
        <v>0.24277437427416371</v>
      </c>
      <c r="J213">
        <v>5728.7998046875</v>
      </c>
      <c r="K213" s="2">
        <f t="shared" si="17"/>
        <v>4.092509543626166E-3</v>
      </c>
    </row>
    <row r="214" spans="1:11" x14ac:dyDescent="0.3">
      <c r="A214" s="1">
        <v>45600</v>
      </c>
      <c r="B214">
        <v>221.76600646972599</v>
      </c>
      <c r="C214">
        <v>169.04626464843699</v>
      </c>
      <c r="D214" s="2">
        <f t="shared" si="15"/>
        <v>-4.0375327863639843E-3</v>
      </c>
      <c r="E214" s="2">
        <f t="shared" si="16"/>
        <v>-1.1967918835688152E-2</v>
      </c>
      <c r="F214" s="2">
        <f t="shared" si="18"/>
        <v>0.20045493475521448</v>
      </c>
      <c r="G214" s="2">
        <f t="shared" si="19"/>
        <v>0.22790095143177735</v>
      </c>
      <c r="J214">
        <v>5712.68994140625</v>
      </c>
      <c r="K214" s="2">
        <f t="shared" si="17"/>
        <v>-2.812083478299976E-3</v>
      </c>
    </row>
    <row r="215" spans="1:11" x14ac:dyDescent="0.3">
      <c r="A215" s="1">
        <v>45601</v>
      </c>
      <c r="B215">
        <v>223.20442199707</v>
      </c>
      <c r="C215">
        <v>169.54570007324199</v>
      </c>
      <c r="D215" s="2">
        <f t="shared" si="15"/>
        <v>6.4861858237068581E-3</v>
      </c>
      <c r="E215" s="2">
        <f t="shared" si="16"/>
        <v>2.9544304089987872E-3</v>
      </c>
      <c r="F215" s="2">
        <f t="shared" si="18"/>
        <v>0.20824130853502276</v>
      </c>
      <c r="G215" s="2">
        <f t="shared" si="19"/>
        <v>0.23152869934192588</v>
      </c>
      <c r="J215">
        <v>5782.759765625</v>
      </c>
      <c r="K215" s="2">
        <f t="shared" si="17"/>
        <v>1.2265644545291332E-2</v>
      </c>
    </row>
    <row r="216" spans="1:11" x14ac:dyDescent="0.3">
      <c r="A216" s="1">
        <v>45602</v>
      </c>
      <c r="B216">
        <v>222.47523498535099</v>
      </c>
      <c r="C216">
        <v>176.30793762207</v>
      </c>
      <c r="D216" s="2">
        <f t="shared" si="15"/>
        <v>-3.2669021751217109E-3</v>
      </c>
      <c r="E216" s="2">
        <f t="shared" si="16"/>
        <v>3.9884453253056895E-2</v>
      </c>
      <c r="F216" s="2">
        <f t="shared" si="18"/>
        <v>0.2042941023760978</v>
      </c>
      <c r="G216" s="2">
        <f t="shared" si="19"/>
        <v>0.28064754818062698</v>
      </c>
      <c r="J216">
        <v>5929.0400390625</v>
      </c>
      <c r="K216" s="2">
        <f t="shared" si="17"/>
        <v>2.5295927786425976E-2</v>
      </c>
    </row>
    <row r="217" spans="1:11" x14ac:dyDescent="0.3">
      <c r="A217" s="1">
        <v>45603</v>
      </c>
      <c r="B217">
        <v>227.22999572753901</v>
      </c>
      <c r="C217">
        <v>180.54309082031199</v>
      </c>
      <c r="D217" s="2">
        <f t="shared" si="15"/>
        <v>2.1372089987908405E-2</v>
      </c>
      <c r="E217" s="2">
        <f t="shared" si="16"/>
        <v>2.4021341610383828E-2</v>
      </c>
      <c r="F217" s="2">
        <f t="shared" si="18"/>
        <v>0.23003238430398709</v>
      </c>
      <c r="G217" s="2">
        <f t="shared" si="19"/>
        <v>0.3114104204179744</v>
      </c>
      <c r="J217">
        <v>5973.10009765625</v>
      </c>
      <c r="K217" s="2">
        <f t="shared" si="17"/>
        <v>7.431229727488331E-3</v>
      </c>
    </row>
    <row r="218" spans="1:11" x14ac:dyDescent="0.3">
      <c r="A218" s="1">
        <v>45604</v>
      </c>
      <c r="B218">
        <v>226.96000671386699</v>
      </c>
      <c r="C218">
        <v>178.14584350585901</v>
      </c>
      <c r="D218" s="2">
        <f t="shared" si="15"/>
        <v>-1.1881750594043838E-3</v>
      </c>
      <c r="E218" s="2">
        <f t="shared" si="16"/>
        <v>-1.32779787006021E-2</v>
      </c>
      <c r="F218" s="2">
        <f t="shared" si="18"/>
        <v>0.2285708905026973</v>
      </c>
      <c r="G218" s="2">
        <f t="shared" si="19"/>
        <v>0.29399754078791696</v>
      </c>
      <c r="J218">
        <v>5995.5400390625</v>
      </c>
      <c r="K218" s="2">
        <f t="shared" si="17"/>
        <v>3.7568333092317108E-3</v>
      </c>
    </row>
    <row r="219" spans="1:11" x14ac:dyDescent="0.3">
      <c r="A219" s="1">
        <v>45607</v>
      </c>
      <c r="B219">
        <v>224.22999572753901</v>
      </c>
      <c r="C219">
        <v>180.1435546875</v>
      </c>
      <c r="D219" s="2">
        <f t="shared" si="15"/>
        <v>-1.2028599337194024E-2</v>
      </c>
      <c r="E219" s="2">
        <f t="shared" si="16"/>
        <v>1.1213908460206534E-2</v>
      </c>
      <c r="F219" s="2">
        <f t="shared" si="18"/>
        <v>0.21379290350350066</v>
      </c>
      <c r="G219" s="2">
        <f t="shared" si="19"/>
        <v>0.30850831075804508</v>
      </c>
      <c r="J219">
        <v>6001.35009765625</v>
      </c>
      <c r="K219" s="2">
        <f t="shared" si="17"/>
        <v>9.6906342979874438E-4</v>
      </c>
    </row>
    <row r="220" spans="1:11" x14ac:dyDescent="0.3">
      <c r="A220" s="1">
        <v>45608</v>
      </c>
      <c r="B220">
        <v>224.22999572753901</v>
      </c>
      <c r="C220">
        <v>181.41207885742099</v>
      </c>
      <c r="D220" s="2">
        <f t="shared" si="15"/>
        <v>0</v>
      </c>
      <c r="E220" s="2">
        <f t="shared" si="16"/>
        <v>7.041740528111351E-3</v>
      </c>
      <c r="F220" s="2">
        <f t="shared" si="18"/>
        <v>0.21379290350350066</v>
      </c>
      <c r="G220" s="2">
        <f t="shared" si="19"/>
        <v>0.31772248676128045</v>
      </c>
      <c r="J220">
        <v>5983.990234375</v>
      </c>
      <c r="K220" s="2">
        <f t="shared" si="17"/>
        <v>-2.8926596513724201E-3</v>
      </c>
    </row>
    <row r="221" spans="1:11" x14ac:dyDescent="0.3">
      <c r="A221" s="1">
        <v>45609</v>
      </c>
      <c r="B221">
        <v>225.11999511718699</v>
      </c>
      <c r="C221">
        <v>178.67523193359301</v>
      </c>
      <c r="D221" s="2">
        <f t="shared" si="15"/>
        <v>3.9691361843017248E-3</v>
      </c>
      <c r="E221" s="2">
        <f t="shared" si="16"/>
        <v>-1.508635445371298E-2</v>
      </c>
      <c r="F221" s="2">
        <f t="shared" si="18"/>
        <v>0.21861061283704508</v>
      </c>
      <c r="G221" s="2">
        <f t="shared" si="19"/>
        <v>0.29784285825437173</v>
      </c>
      <c r="J221">
        <v>5985.3798828125</v>
      </c>
      <c r="K221" s="2">
        <f t="shared" si="17"/>
        <v>2.3222772482434095E-4</v>
      </c>
    </row>
    <row r="222" spans="1:11" x14ac:dyDescent="0.3">
      <c r="A222" s="1">
        <v>45610</v>
      </c>
      <c r="B222">
        <v>228.22000122070301</v>
      </c>
      <c r="C222">
        <v>175.37899780273401</v>
      </c>
      <c r="D222" s="2">
        <f t="shared" si="15"/>
        <v>1.3770460957509778E-2</v>
      </c>
      <c r="E222" s="2">
        <f t="shared" si="16"/>
        <v>-1.8448187223196633E-2</v>
      </c>
      <c r="F222" s="2">
        <f t="shared" si="18"/>
        <v>0.23539144270352463</v>
      </c>
      <c r="G222" s="2">
        <f t="shared" si="19"/>
        <v>0.27390001021900634</v>
      </c>
      <c r="J222">
        <v>5949.169921875</v>
      </c>
      <c r="K222" s="2">
        <f t="shared" si="17"/>
        <v>-6.0497347948590408E-3</v>
      </c>
    </row>
    <row r="223" spans="1:11" x14ac:dyDescent="0.3">
      <c r="A223" s="1">
        <v>45611</v>
      </c>
      <c r="B223">
        <v>225</v>
      </c>
      <c r="C223">
        <v>172.29254150390599</v>
      </c>
      <c r="D223" s="2">
        <f t="shared" si="15"/>
        <v>-1.4109198157391423E-2</v>
      </c>
      <c r="E223" s="2">
        <f t="shared" si="16"/>
        <v>-1.7598779429106148E-2</v>
      </c>
      <c r="F223" s="2">
        <f t="shared" si="18"/>
        <v>0.21796106003647497</v>
      </c>
      <c r="G223" s="2">
        <f t="shared" si="19"/>
        <v>0.25148092492442609</v>
      </c>
      <c r="J223">
        <v>5870.6201171875</v>
      </c>
      <c r="K223" s="2">
        <f t="shared" si="17"/>
        <v>-1.3203489851361216E-2</v>
      </c>
    </row>
    <row r="224" spans="1:11" x14ac:dyDescent="0.3">
      <c r="A224" s="1">
        <v>45614</v>
      </c>
      <c r="B224">
        <v>228.02000427246</v>
      </c>
      <c r="C224">
        <v>175.09931945800699</v>
      </c>
      <c r="D224" s="2">
        <f t="shared" si="15"/>
        <v>1.3422241210933272E-2</v>
      </c>
      <c r="E224" s="2">
        <f t="shared" si="16"/>
        <v>1.6290768768056907E-2</v>
      </c>
      <c r="F224" s="2">
        <f t="shared" si="18"/>
        <v>0.23430882716980861</v>
      </c>
      <c r="G224" s="2">
        <f t="shared" si="19"/>
        <v>0.27186851129000389</v>
      </c>
      <c r="J224">
        <v>5893.6201171875</v>
      </c>
      <c r="K224" s="2">
        <f t="shared" si="17"/>
        <v>3.9178143945410859E-3</v>
      </c>
    </row>
    <row r="225" spans="1:11" x14ac:dyDescent="0.3">
      <c r="A225" s="1">
        <v>45615</v>
      </c>
      <c r="B225">
        <v>228.27999877929599</v>
      </c>
      <c r="C225">
        <v>177.916091918945</v>
      </c>
      <c r="D225" s="2">
        <f t="shared" si="15"/>
        <v>1.1402267431122048E-3</v>
      </c>
      <c r="E225" s="2">
        <f t="shared" si="16"/>
        <v>1.6086712784817658E-2</v>
      </c>
      <c r="F225" s="2">
        <f t="shared" si="18"/>
        <v>0.23571621910380713</v>
      </c>
      <c r="G225" s="2">
        <f t="shared" si="19"/>
        <v>0.29232869473117984</v>
      </c>
      <c r="J225">
        <v>5916.97998046875</v>
      </c>
      <c r="K225" s="2">
        <f t="shared" si="17"/>
        <v>3.9635848284700348E-3</v>
      </c>
    </row>
    <row r="226" spans="1:11" x14ac:dyDescent="0.3">
      <c r="A226" s="1">
        <v>45616</v>
      </c>
      <c r="B226">
        <v>229</v>
      </c>
      <c r="C226">
        <v>175.77853393554599</v>
      </c>
      <c r="D226" s="2">
        <f t="shared" si="15"/>
        <v>3.1540267415197665E-3</v>
      </c>
      <c r="E226" s="2">
        <f t="shared" si="16"/>
        <v>-1.2014416236013292E-2</v>
      </c>
      <c r="F226" s="2">
        <f t="shared" si="18"/>
        <v>0.23961370110379021</v>
      </c>
      <c r="G226" s="2">
        <f t="shared" si="19"/>
        <v>0.27680211987893566</v>
      </c>
      <c r="J226">
        <v>5917.10986328125</v>
      </c>
      <c r="K226" s="2">
        <f t="shared" si="17"/>
        <v>2.195086225209586E-5</v>
      </c>
    </row>
    <row r="227" spans="1:11" x14ac:dyDescent="0.3">
      <c r="A227" s="1">
        <v>45617</v>
      </c>
      <c r="B227">
        <v>228.52000427246</v>
      </c>
      <c r="C227">
        <v>167.43811035156199</v>
      </c>
      <c r="D227" s="2">
        <f t="shared" si="15"/>
        <v>-2.0960512119650998E-3</v>
      </c>
      <c r="E227" s="2">
        <f t="shared" si="16"/>
        <v>-4.7448476200411704E-2</v>
      </c>
      <c r="F227" s="2">
        <f t="shared" si="18"/>
        <v>0.23701540730322312</v>
      </c>
      <c r="G227" s="2">
        <f t="shared" si="19"/>
        <v>0.21621980488122472</v>
      </c>
      <c r="J227">
        <v>5948.7099609375</v>
      </c>
      <c r="K227" s="2">
        <f t="shared" si="17"/>
        <v>5.3404615405816536E-3</v>
      </c>
    </row>
    <row r="228" spans="1:11" x14ac:dyDescent="0.3">
      <c r="A228" s="1">
        <v>45618</v>
      </c>
      <c r="B228">
        <v>229.86999511718699</v>
      </c>
      <c r="C228">
        <v>164.57138061523401</v>
      </c>
      <c r="D228" s="2">
        <f t="shared" si="15"/>
        <v>5.9075390315388443E-3</v>
      </c>
      <c r="E228" s="2">
        <f t="shared" si="16"/>
        <v>-1.7121130489999192E-2</v>
      </c>
      <c r="F228" s="2">
        <f t="shared" si="18"/>
        <v>0.24432312410448187</v>
      </c>
      <c r="G228" s="2">
        <f t="shared" si="19"/>
        <v>0.19539674689733189</v>
      </c>
      <c r="J228">
        <v>5969.33984375</v>
      </c>
      <c r="K228" s="2">
        <f t="shared" si="17"/>
        <v>3.4679590949915351E-3</v>
      </c>
    </row>
    <row r="229" spans="1:11" x14ac:dyDescent="0.3">
      <c r="A229" s="1">
        <v>45621</v>
      </c>
      <c r="B229">
        <v>232.86999511718699</v>
      </c>
      <c r="C229">
        <v>167.45806884765599</v>
      </c>
      <c r="D229" s="2">
        <f t="shared" si="15"/>
        <v>1.3050855108212911E-2</v>
      </c>
      <c r="E229" s="2">
        <f t="shared" si="16"/>
        <v>1.7540645412527978E-2</v>
      </c>
      <c r="F229" s="2">
        <f t="shared" si="18"/>
        <v>0.2605626049049683</v>
      </c>
      <c r="G229" s="2">
        <f t="shared" si="19"/>
        <v>0.21636477736194748</v>
      </c>
      <c r="J229">
        <v>5987.3701171875</v>
      </c>
      <c r="K229" s="2">
        <f t="shared" si="17"/>
        <v>3.0204803059383778E-3</v>
      </c>
    </row>
    <row r="230" spans="1:11" x14ac:dyDescent="0.3">
      <c r="A230" s="1">
        <v>45622</v>
      </c>
      <c r="B230">
        <v>235.05999755859301</v>
      </c>
      <c r="C230">
        <v>168.92639160156199</v>
      </c>
      <c r="D230" s="2">
        <f t="shared" si="15"/>
        <v>9.4043993959116445E-3</v>
      </c>
      <c r="E230" s="2">
        <f t="shared" si="16"/>
        <v>8.7683010081873736E-3</v>
      </c>
      <c r="F230" s="2">
        <f t="shared" si="18"/>
        <v>0.27241743910504534</v>
      </c>
      <c r="G230" s="2">
        <f t="shared" si="19"/>
        <v>0.22703022986561394</v>
      </c>
      <c r="J230">
        <v>6021.6298828125</v>
      </c>
      <c r="K230" s="2">
        <f t="shared" si="17"/>
        <v>5.7220056476303682E-3</v>
      </c>
    </row>
    <row r="231" spans="1:11" x14ac:dyDescent="0.3">
      <c r="A231" s="1">
        <v>45623</v>
      </c>
      <c r="B231">
        <v>234.92999267578099</v>
      </c>
      <c r="C231">
        <v>169.03627014160099</v>
      </c>
      <c r="D231" s="2">
        <f t="shared" si="15"/>
        <v>-5.5307106339785861E-4</v>
      </c>
      <c r="E231" s="2">
        <f t="shared" si="16"/>
        <v>6.5045218214443423E-4</v>
      </c>
      <c r="F231" s="2">
        <f t="shared" si="18"/>
        <v>0.27171370183891352</v>
      </c>
      <c r="G231" s="2">
        <f t="shared" si="19"/>
        <v>0.2278283543561872</v>
      </c>
      <c r="J231">
        <v>5998.740234375</v>
      </c>
      <c r="K231" s="2">
        <f t="shared" si="17"/>
        <v>-3.801238017440034E-3</v>
      </c>
    </row>
    <row r="232" spans="1:11" x14ac:dyDescent="0.3">
      <c r="A232" s="1">
        <v>45625</v>
      </c>
      <c r="B232">
        <v>237.33000183105401</v>
      </c>
      <c r="C232">
        <v>168.756591796875</v>
      </c>
      <c r="D232" s="2">
        <f t="shared" si="15"/>
        <v>1.0215848253080084E-2</v>
      </c>
      <c r="E232" s="2">
        <f t="shared" si="16"/>
        <v>-1.6545463555940332E-3</v>
      </c>
      <c r="F232" s="2">
        <f t="shared" si="18"/>
        <v>0.28470533603826254</v>
      </c>
      <c r="G232" s="2">
        <f t="shared" si="19"/>
        <v>0.22579685542719208</v>
      </c>
      <c r="J232">
        <v>6032.3798828125</v>
      </c>
      <c r="K232" s="2">
        <f t="shared" si="17"/>
        <v>5.6077854888152423E-3</v>
      </c>
    </row>
    <row r="233" spans="1:11" x14ac:dyDescent="0.3">
      <c r="A233" s="1">
        <v>45628</v>
      </c>
      <c r="B233">
        <v>239.58999633789</v>
      </c>
      <c r="C233">
        <v>171.293685913085</v>
      </c>
      <c r="D233" s="2">
        <f t="shared" si="15"/>
        <v>9.5225824354259192E-3</v>
      </c>
      <c r="E233" s="2">
        <f t="shared" si="16"/>
        <v>1.5034044532398427E-2</v>
      </c>
      <c r="F233" s="2">
        <f t="shared" si="18"/>
        <v>0.29693904850591846</v>
      </c>
      <c r="G233" s="2">
        <f t="shared" si="19"/>
        <v>0.24422553993935847</v>
      </c>
      <c r="J233">
        <v>6047.14990234375</v>
      </c>
      <c r="K233" s="2">
        <f t="shared" si="17"/>
        <v>2.4484564662998753E-3</v>
      </c>
    </row>
    <row r="234" spans="1:11" x14ac:dyDescent="0.3">
      <c r="A234" s="1">
        <v>45629</v>
      </c>
      <c r="B234">
        <v>242.64999389648401</v>
      </c>
      <c r="C234">
        <v>171.14384460449199</v>
      </c>
      <c r="D234" s="2">
        <f t="shared" si="15"/>
        <v>1.277180852859372E-2</v>
      </c>
      <c r="E234" s="2">
        <f t="shared" si="16"/>
        <v>-8.7476259147722946E-4</v>
      </c>
      <c r="F234" s="2">
        <f t="shared" si="18"/>
        <v>0.31350330570669249</v>
      </c>
      <c r="G234" s="2">
        <f t="shared" si="19"/>
        <v>0.24313713798165892</v>
      </c>
      <c r="J234">
        <v>6049.8798828125</v>
      </c>
      <c r="K234" s="2">
        <f t="shared" si="17"/>
        <v>4.5144911451466818E-4</v>
      </c>
    </row>
    <row r="235" spans="1:11" x14ac:dyDescent="0.3">
      <c r="A235" s="1">
        <v>45630</v>
      </c>
      <c r="B235">
        <v>243.009994506835</v>
      </c>
      <c r="C235">
        <v>174.17037963867099</v>
      </c>
      <c r="D235" s="2">
        <f t="shared" si="15"/>
        <v>1.4836209330570949E-3</v>
      </c>
      <c r="E235" s="2">
        <f t="shared" si="16"/>
        <v>1.7684159434265601E-2</v>
      </c>
      <c r="F235" s="2">
        <f t="shared" si="18"/>
        <v>0.31545204670667859</v>
      </c>
      <c r="G235" s="2">
        <f t="shared" si="19"/>
        <v>0.26512097332838325</v>
      </c>
      <c r="J235">
        <v>6086.490234375</v>
      </c>
      <c r="K235" s="2">
        <f t="shared" si="17"/>
        <v>6.0514179242647792E-3</v>
      </c>
    </row>
    <row r="236" spans="1:11" x14ac:dyDescent="0.3">
      <c r="A236" s="1">
        <v>45631</v>
      </c>
      <c r="B236">
        <v>243.03999328613199</v>
      </c>
      <c r="C236">
        <v>172.44236755371</v>
      </c>
      <c r="D236" s="2">
        <f t="shared" si="15"/>
        <v>1.2344668933428338E-4</v>
      </c>
      <c r="E236" s="2">
        <f t="shared" si="16"/>
        <v>-9.9213889786878839E-3</v>
      </c>
      <c r="F236" s="2">
        <f t="shared" si="18"/>
        <v>0.31561443490682262</v>
      </c>
      <c r="G236" s="2">
        <f t="shared" si="19"/>
        <v>0.25256921604689619</v>
      </c>
      <c r="J236">
        <v>6075.10986328125</v>
      </c>
      <c r="K236" s="2">
        <f t="shared" si="17"/>
        <v>-1.8697756269248078E-3</v>
      </c>
    </row>
    <row r="237" spans="1:11" x14ac:dyDescent="0.3">
      <c r="A237" s="1">
        <v>45632</v>
      </c>
      <c r="B237">
        <v>242.83999633789</v>
      </c>
      <c r="C237">
        <v>174.510009765625</v>
      </c>
      <c r="D237" s="2">
        <f t="shared" si="15"/>
        <v>-8.2289727520912237E-4</v>
      </c>
      <c r="E237" s="2">
        <f t="shared" si="16"/>
        <v>1.1990337648727811E-2</v>
      </c>
      <c r="F237" s="2">
        <f t="shared" si="18"/>
        <v>0.31453181937311192</v>
      </c>
      <c r="G237" s="2">
        <f t="shared" si="19"/>
        <v>0.26758794387570073</v>
      </c>
      <c r="J237">
        <v>6090.27001953125</v>
      </c>
      <c r="K237" s="2">
        <f t="shared" si="17"/>
        <v>2.4954538421815275E-3</v>
      </c>
    </row>
    <row r="238" spans="1:11" x14ac:dyDescent="0.3">
      <c r="A238" s="1">
        <v>45635</v>
      </c>
      <c r="B238">
        <v>246.75</v>
      </c>
      <c r="C238">
        <v>175.36999511718699</v>
      </c>
      <c r="D238" s="2">
        <f t="shared" si="15"/>
        <v>1.6101151873967101E-2</v>
      </c>
      <c r="E238" s="2">
        <f t="shared" si="16"/>
        <v>4.9280001343017243E-3</v>
      </c>
      <c r="F238" s="2">
        <f t="shared" si="18"/>
        <v>0.33569729584000063</v>
      </c>
      <c r="G238" s="2">
        <f t="shared" si="19"/>
        <v>0.27383461743335946</v>
      </c>
      <c r="J238">
        <v>6052.85009765625</v>
      </c>
      <c r="K238" s="2">
        <f t="shared" si="17"/>
        <v>-6.1442139272964713E-3</v>
      </c>
    </row>
    <row r="239" spans="1:11" x14ac:dyDescent="0.3">
      <c r="A239" s="1">
        <v>45636</v>
      </c>
      <c r="B239">
        <v>247.77000427246</v>
      </c>
      <c r="C239">
        <v>185.169998168945</v>
      </c>
      <c r="D239" s="2">
        <f t="shared" si="15"/>
        <v>4.1337559167577975E-3</v>
      </c>
      <c r="E239" s="2">
        <f t="shared" si="16"/>
        <v>5.588186876101231E-2</v>
      </c>
      <c r="F239" s="2">
        <f t="shared" si="18"/>
        <v>0.34121874243967665</v>
      </c>
      <c r="G239" s="2">
        <f t="shared" si="19"/>
        <v>0.34501887634800488</v>
      </c>
      <c r="J239">
        <v>6034.91015625</v>
      </c>
      <c r="K239" s="2">
        <f t="shared" si="17"/>
        <v>-2.963883313944371E-3</v>
      </c>
    </row>
    <row r="240" spans="1:11" x14ac:dyDescent="0.3">
      <c r="A240" s="1">
        <v>45637</v>
      </c>
      <c r="B240">
        <v>246.49000549316401</v>
      </c>
      <c r="C240">
        <v>195.39999389648401</v>
      </c>
      <c r="D240" s="2">
        <f t="shared" si="15"/>
        <v>-5.1660764306580287E-3</v>
      </c>
      <c r="E240" s="2">
        <f t="shared" si="16"/>
        <v>5.5246507688601731E-2</v>
      </c>
      <c r="F240" s="2">
        <f t="shared" si="18"/>
        <v>0.33428990390600233</v>
      </c>
      <c r="G240" s="2">
        <f t="shared" si="19"/>
        <v>0.41932647204147933</v>
      </c>
      <c r="J240">
        <v>6084.18994140625</v>
      </c>
      <c r="K240" s="2">
        <f t="shared" si="17"/>
        <v>8.165786048233592E-3</v>
      </c>
    </row>
    <row r="241" spans="1:11" x14ac:dyDescent="0.3">
      <c r="A241" s="1">
        <v>45638</v>
      </c>
      <c r="B241">
        <v>247.96000671386699</v>
      </c>
      <c r="C241">
        <v>191.96000671386699</v>
      </c>
      <c r="D241" s="2">
        <f t="shared" si="15"/>
        <v>5.96373559959118E-3</v>
      </c>
      <c r="E241" s="2">
        <f t="shared" si="16"/>
        <v>-1.7604847953267555E-2</v>
      </c>
      <c r="F241" s="2">
        <f t="shared" si="18"/>
        <v>0.34224725610610163</v>
      </c>
      <c r="G241" s="2">
        <f t="shared" si="19"/>
        <v>0.39433944530514142</v>
      </c>
      <c r="J241">
        <v>6051.25</v>
      </c>
      <c r="K241" s="2">
        <f t="shared" si="17"/>
        <v>-5.4140225278102028E-3</v>
      </c>
    </row>
    <row r="242" spans="1:11" x14ac:dyDescent="0.3">
      <c r="A242" s="1">
        <v>45639</v>
      </c>
      <c r="B242">
        <v>248.13000488281199</v>
      </c>
      <c r="C242">
        <v>189.82000732421801</v>
      </c>
      <c r="D242" s="2">
        <f t="shared" si="15"/>
        <v>6.8558704767718304E-4</v>
      </c>
      <c r="E242" s="2">
        <f t="shared" si="16"/>
        <v>-1.1148152296320935E-2</v>
      </c>
      <c r="F242" s="2">
        <f t="shared" si="18"/>
        <v>0.3431674834396683</v>
      </c>
      <c r="G242" s="2">
        <f t="shared" si="19"/>
        <v>0.37879513681611199</v>
      </c>
      <c r="J242">
        <v>6051.08984375</v>
      </c>
      <c r="K242" s="2">
        <f t="shared" si="17"/>
        <v>-2.6466639124200775E-5</v>
      </c>
    </row>
    <row r="243" spans="1:11" x14ac:dyDescent="0.3">
      <c r="A243" s="1">
        <v>45642</v>
      </c>
      <c r="B243">
        <v>251.03999328613199</v>
      </c>
      <c r="C243">
        <v>196.66000366210901</v>
      </c>
      <c r="D243" s="2">
        <f t="shared" si="15"/>
        <v>1.1727676403723741E-2</v>
      </c>
      <c r="E243" s="2">
        <f t="shared" si="16"/>
        <v>3.6034116921132009E-2</v>
      </c>
      <c r="F243" s="2">
        <f t="shared" si="18"/>
        <v>0.35891971704145265</v>
      </c>
      <c r="G243" s="2">
        <f t="shared" si="19"/>
        <v>0.42847880198643207</v>
      </c>
      <c r="J243">
        <v>6074.080078125</v>
      </c>
      <c r="K243" s="2">
        <f t="shared" si="17"/>
        <v>3.7993543260221863E-3</v>
      </c>
    </row>
    <row r="244" spans="1:11" x14ac:dyDescent="0.3">
      <c r="A244" s="1">
        <v>45643</v>
      </c>
      <c r="B244">
        <v>253.47999572753901</v>
      </c>
      <c r="C244">
        <v>195.419998168945</v>
      </c>
      <c r="D244" s="2">
        <f t="shared" si="15"/>
        <v>9.7195765880455642E-3</v>
      </c>
      <c r="E244" s="2">
        <f t="shared" si="16"/>
        <v>-6.3053262995688142E-3</v>
      </c>
      <c r="F244" s="2">
        <f t="shared" si="18"/>
        <v>0.37212784130824228</v>
      </c>
      <c r="G244" s="2">
        <f t="shared" si="19"/>
        <v>0.4194717770278904</v>
      </c>
      <c r="J244">
        <v>6050.60986328125</v>
      </c>
      <c r="K244" s="2">
        <f t="shared" si="17"/>
        <v>-3.8639949658014761E-3</v>
      </c>
    </row>
    <row r="245" spans="1:11" x14ac:dyDescent="0.3">
      <c r="A245" s="1">
        <v>45644</v>
      </c>
      <c r="B245">
        <v>248.05000305175699</v>
      </c>
      <c r="C245">
        <v>188.39999389648401</v>
      </c>
      <c r="D245" s="2">
        <f t="shared" si="15"/>
        <v>-2.1421779893110893E-2</v>
      </c>
      <c r="E245" s="2">
        <f t="shared" si="16"/>
        <v>-3.5922650385003307E-2</v>
      </c>
      <c r="F245" s="2">
        <f t="shared" si="18"/>
        <v>0.34273442070652771</v>
      </c>
      <c r="G245" s="2">
        <f t="shared" si="19"/>
        <v>0.36848058865033817</v>
      </c>
      <c r="J245">
        <v>5872.16015625</v>
      </c>
      <c r="K245" s="2">
        <f t="shared" si="17"/>
        <v>-2.949284635160343E-2</v>
      </c>
    </row>
    <row r="246" spans="1:11" x14ac:dyDescent="0.3">
      <c r="A246" s="1">
        <v>45645</v>
      </c>
      <c r="B246">
        <v>249.78999328613199</v>
      </c>
      <c r="C246">
        <v>188.509994506835</v>
      </c>
      <c r="D246" s="2">
        <f t="shared" si="15"/>
        <v>7.0146753193627287E-3</v>
      </c>
      <c r="E246" s="2">
        <f t="shared" si="16"/>
        <v>5.8386737746629613E-4</v>
      </c>
      <c r="F246" s="2">
        <f t="shared" si="18"/>
        <v>0.35215326670791658</v>
      </c>
      <c r="G246" s="2">
        <f t="shared" si="19"/>
        <v>0.36927959982274694</v>
      </c>
      <c r="J246">
        <v>5867.080078125</v>
      </c>
      <c r="K246" s="2">
        <f t="shared" si="17"/>
        <v>-8.6511232490704693E-4</v>
      </c>
    </row>
    <row r="247" spans="1:11" x14ac:dyDescent="0.3">
      <c r="A247" s="1">
        <v>45646</v>
      </c>
      <c r="B247">
        <v>254.49000549316401</v>
      </c>
      <c r="C247">
        <v>191.41000366210901</v>
      </c>
      <c r="D247" s="2">
        <f t="shared" si="15"/>
        <v>1.8815854651343944E-2</v>
      </c>
      <c r="E247" s="2">
        <f t="shared" si="16"/>
        <v>1.5383848282743751E-2</v>
      </c>
      <c r="F247" s="2">
        <f t="shared" si="18"/>
        <v>0.37759518604063258</v>
      </c>
      <c r="G247" s="2">
        <f t="shared" si="19"/>
        <v>0.39034438944307626</v>
      </c>
      <c r="J247">
        <v>5930.85009765625</v>
      </c>
      <c r="K247" s="2">
        <f t="shared" si="17"/>
        <v>1.0869123768910471E-2</v>
      </c>
    </row>
    <row r="248" spans="1:11" x14ac:dyDescent="0.3">
      <c r="A248" s="1">
        <v>45649</v>
      </c>
      <c r="B248">
        <v>255.27000427246</v>
      </c>
      <c r="C248">
        <v>194.63000488281199</v>
      </c>
      <c r="D248" s="2">
        <f t="shared" si="15"/>
        <v>3.0649485734595139E-3</v>
      </c>
      <c r="E248" s="2">
        <f t="shared" si="16"/>
        <v>1.6822533614215818E-2</v>
      </c>
      <c r="F248" s="2">
        <f t="shared" si="18"/>
        <v>0.38181744444089261</v>
      </c>
      <c r="G248" s="2">
        <f t="shared" si="19"/>
        <v>0.41373350466981873</v>
      </c>
      <c r="J248">
        <v>5974.06982421875</v>
      </c>
      <c r="K248" s="2">
        <f t="shared" si="17"/>
        <v>7.2872734685336393E-3</v>
      </c>
    </row>
    <row r="249" spans="1:11" x14ac:dyDescent="0.3">
      <c r="A249" s="1">
        <v>45650</v>
      </c>
      <c r="B249">
        <v>258.20001220703102</v>
      </c>
      <c r="C249">
        <v>196.11000061035099</v>
      </c>
      <c r="D249" s="2">
        <f t="shared" si="15"/>
        <v>1.1478073747527739E-2</v>
      </c>
      <c r="E249" s="2">
        <f t="shared" si="16"/>
        <v>7.6041498762233761E-3</v>
      </c>
      <c r="F249" s="2">
        <f t="shared" si="18"/>
        <v>0.39767804697380549</v>
      </c>
      <c r="G249" s="2">
        <f t="shared" si="19"/>
        <v>0.42448374612436668</v>
      </c>
      <c r="J249">
        <v>6040.0400390625</v>
      </c>
      <c r="K249" s="2">
        <f t="shared" si="17"/>
        <v>1.1042759255392109E-2</v>
      </c>
    </row>
    <row r="250" spans="1:11" x14ac:dyDescent="0.3">
      <c r="A250" s="1">
        <v>45652</v>
      </c>
      <c r="B250">
        <v>259.01998901367102</v>
      </c>
      <c r="C250">
        <v>195.600006103515</v>
      </c>
      <c r="D250" s="2">
        <f t="shared" si="15"/>
        <v>3.1757427105871816E-3</v>
      </c>
      <c r="E250" s="2">
        <f t="shared" si="16"/>
        <v>-2.6005532876892667E-3</v>
      </c>
      <c r="F250" s="2">
        <f t="shared" si="18"/>
        <v>0.40211671284323036</v>
      </c>
      <c r="G250" s="2">
        <f t="shared" si="19"/>
        <v>0.420779300235123</v>
      </c>
      <c r="J250">
        <v>6037.58984375</v>
      </c>
      <c r="K250" s="2">
        <f t="shared" si="17"/>
        <v>-4.0565878647391695E-4</v>
      </c>
    </row>
    <row r="251" spans="1:11" x14ac:dyDescent="0.3">
      <c r="A251" s="1">
        <v>45653</v>
      </c>
      <c r="B251">
        <v>255.58999633789</v>
      </c>
      <c r="C251">
        <v>192.759994506835</v>
      </c>
      <c r="D251" s="2">
        <f t="shared" si="15"/>
        <v>-1.3242192962953148E-2</v>
      </c>
      <c r="E251" s="2">
        <f>C251/C250-1</f>
        <v>-1.451948623752608E-2</v>
      </c>
      <c r="F251" s="2">
        <f t="shared" si="18"/>
        <v>0.38354961277517874</v>
      </c>
      <c r="G251" s="2">
        <f>(1+E251)*(1+G250)-1</f>
        <v>0.40015031473879725</v>
      </c>
      <c r="J251">
        <v>5970.83984375</v>
      </c>
      <c r="K251" s="2">
        <f t="shared" si="17"/>
        <v>-1.1055736101235558E-2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yahoofinance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Андрій</dc:creator>
  <cp:lastModifiedBy>Андрій</cp:lastModifiedBy>
  <dcterms:created xsi:type="dcterms:W3CDTF">2025-01-21T22:59:31Z</dcterms:created>
  <dcterms:modified xsi:type="dcterms:W3CDTF">2025-01-22T00:47:58Z</dcterms:modified>
</cp:coreProperties>
</file>